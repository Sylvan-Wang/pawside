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2.xml" ContentType="application/vnd.openxmlformats-officedocument.spreadsheetml.table+xml"/>
  <Override PartName="/xl/worksheets/sheet12.xml" ContentType="application/vnd.openxmlformats-officedocument.spreadsheetml.worksheet+xml"/>
  <Override PartName="/xl/tables/table3.xml" ContentType="application/vnd.openxmlformats-officedocument.spreadsheetml.table+xml"/>
  <Override PartName="/xl/worksheets/sheet13.xml" ContentType="application/vnd.openxmlformats-officedocument.spreadsheetml.worksheet+xml"/>
  <Override PartName="/xl/tables/table4.xml" ContentType="application/vnd.openxmlformats-officedocument.spreadsheetml.table+xml"/>
  <Override PartName="/xl/worksheets/sheet14.xml" ContentType="application/vnd.openxmlformats-officedocument.spreadsheetml.worksheet+xml"/>
  <Override PartName="/xl/tables/table5.xml" ContentType="application/vnd.openxmlformats-officedocument.spreadsheetml.table+xml"/>
  <Override PartName="/xl/worksheets/sheet15.xml" ContentType="application/vnd.openxmlformats-officedocument.spreadsheetml.worksheet+xml"/>
  <Override PartName="/xl/tables/table6.xml" ContentType="application/vnd.openxmlformats-officedocument.spreadsheetml.table+xml"/>
  <Override PartName="/xl/worksheets/sheet16.xml" ContentType="application/vnd.openxmlformats-officedocument.spreadsheetml.worksheet+xml"/>
  <Override PartName="/xl/tables/table7.xml" ContentType="application/vnd.openxmlformats-officedocument.spreadsheetml.table+xml"/>
  <Override PartName="/xl/worksheets/sheet17.xml" ContentType="application/vnd.openxmlformats-officedocument.spreadsheetml.worksheet+xml"/>
  <Override PartName="/xl/tables/table8.xml" ContentType="application/vnd.openxmlformats-officedocument.spreadsheetml.table+xml"/>
  <Override PartName="/xl/worksheets/sheet18.xml" ContentType="application/vnd.openxmlformats-officedocument.spreadsheetml.worksheet+xml"/>
  <Override PartName="/xl/tables/table9.xml" ContentType="application/vnd.openxmlformats-officedocument.spreadsheetml.table+xml"/>
  <Override PartName="/xl/worksheets/sheet19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f10258f7b041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使用说明" sheetId="1" r:id="Re5730a3943e94e9b"/>
    <x:sheet xmlns:r="http://schemas.openxmlformats.org/officeDocument/2006/relationships" name="01_字段确认" sheetId="2" r:id="R326af850a4464c62"/>
    <x:sheet xmlns:r="http://schemas.openxmlformats.org/officeDocument/2006/relationships" name="02_方法论总览" sheetId="3" r:id="R4aeed1fd141841a3"/>
    <x:sheet xmlns:r="http://schemas.openxmlformats.org/officeDocument/2006/relationships" name="03_计划结构" sheetId="4" r:id="Rbbd9171019fa41a9"/>
    <x:sheet xmlns:r="http://schemas.openxmlformats.org/officeDocument/2006/relationships" name="04_动作执行库" sheetId="5" r:id="Ra78c2225df4d45c5"/>
    <x:sheet xmlns:r="http://schemas.openxmlformats.org/officeDocument/2006/relationships" name="05_递进规则" sheetId="6" r:id="Rac45871a434a4205"/>
    <x:sheet xmlns:r="http://schemas.openxmlformats.org/officeDocument/2006/relationships" name="06_训练执行Tracking" sheetId="7" r:id="Re94a2ca65e484e7c"/>
    <x:sheet xmlns:r="http://schemas.openxmlformats.org/officeDocument/2006/relationships" name="07_恢复疲劳Tracking" sheetId="8" r:id="Rc484eb71ab644b2a"/>
    <x:sheet xmlns:r="http://schemas.openxmlformats.org/officeDocument/2006/relationships" name="08_周周期复盘" sheetId="9" r:id="R170a54e5a88c4901"/>
    <x:sheet xmlns:r="http://schemas.openxmlformats.org/officeDocument/2006/relationships" name="09_视频待核验" sheetId="10" r:id="Rb2dbfc0f12e14165"/>
    <x:sheet xmlns:r="http://schemas.openxmlformats.org/officeDocument/2006/relationships" name="10_枚举字典" sheetId="11" r:id="R57dbcaeddd2840ef"/>
    <x:sheet xmlns:r="http://schemas.openxmlformats.org/officeDocument/2006/relationships" name="11_来源与原文定位" sheetId="12" r:id="R5adbd9fc755e496b"/>
    <x:sheet xmlns:r="http://schemas.openxmlformats.org/officeDocument/2006/relationships" name="12_重量校准规则" sheetId="13" r:id="R8e520bc92f1f488c"/>
    <x:sheet xmlns:r="http://schemas.openxmlformats.org/officeDocument/2006/relationships" name="13_适应场景矩阵" sheetId="14" r:id="Reb4b111e7b8f4c1c"/>
    <x:sheet xmlns:r="http://schemas.openxmlformats.org/officeDocument/2006/relationships" name="14_规则证据索引" sheetId="15" r:id="R410e9e11e0dd44e1"/>
    <x:sheet xmlns:r="http://schemas.openxmlformats.org/officeDocument/2006/relationships" name="15_RAG切片规范" sheetId="16" r:id="R50aa77e889604a5a"/>
    <x:sheet xmlns:r="http://schemas.openxmlformats.org/officeDocument/2006/relationships" name="16_数据库映射" sheetId="17" r:id="Rea330e01f9464ac8"/>
    <x:sheet xmlns:r="http://schemas.openxmlformats.org/officeDocument/2006/relationships" name="17_导入契约" sheetId="18" r:id="R0fabddf938a846af"/>
    <x:sheet xmlns:r="http://schemas.openxmlformats.org/officeDocument/2006/relationships" name="18_未决问题" sheetId="19" r:id="R4c433d869b404ab2"/>
  </x:sheets>
</x:workbook>
</file>

<file path=xl/sharedStrings.xml><?xml version="1.0" encoding="utf-8"?>
<x:sst xmlns:x="http://schemas.openxmlformats.org/spreadsheetml/2006/main">
  <x:si>
    <x:t xml:space="preserve">方法论 → 可执行规则总览</x:t>
  </x:si>
  <x:si>
    <x:t xml:space="preserve">仅整理转写明确支持的规则；产品化列只做结构转换，不补外部健身知识。</x:t>
  </x:si>
  <x:si>
    <x:t xml:space="preserve">规则ID</x:t>
  </x:si>
  <x:si>
    <x:t xml:space="preserve">主题</x:t>
  </x:si>
  <x:si>
    <x:t xml:space="preserve">方法论核心</x:t>
  </x:si>
  <x:si>
    <x:t xml:space="preserve">产品化执行规则</x:t>
  </x:si>
  <x:si>
    <x:t xml:space="preserve">需要Tracking</x:t>
  </x:si>
  <x:si>
    <x:t xml:space="preserve">触发后动作</x:t>
  </x:si>
  <x:si>
    <x:t xml:space="preserve">置信度</x:t>
  </x:si>
  <x:si>
    <x:t xml:space="preserve">原文定位关键词</x:t>
  </x:si>
  <x:si>
    <x:t xml:space="preserve">备注</x:t>
  </x:si>
  <x:si>
    <x:t xml:space="preserve">M001</x:t>
  </x:si>
  <x:si>
    <x:t xml:space="preserve">综合目标</x:t>
  </x:si>
  <x:si>
    <x:t xml:space="preserve">力量、形体、运动能力、关节/功能综合发展</x:t>
  </x:si>
  <x:si>
    <x:t xml:space="preserve">不以单一增肌或力量定义成功</x:t>
  </x:si>
  <x:si>
    <x:t xml:space="preserve">重量/动作质量/身体感受/周期</x:t>
  </x:si>
  <x:si>
    <x:t xml:space="preserve">综合复盘</x:t>
  </x:si>
  <x:si>
    <x:t xml:space="preserve">高</x:t>
  </x:si>
  <x:si>
    <x:t xml:space="preserve">力量提高…功能发展…增肌效果</x:t>
  </x:si>
  <x:si>
    <x:t xml:space="preserve">M002</x:t>
  </x:si>
  <x:si>
    <x:t xml:space="preserve">自由重量</x:t>
  </x:si>
  <x:si>
    <x:t xml:space="preserve">开发协调稳定并筛查身体问题</x:t>
  </x:si>
  <x:si>
    <x:t xml:space="preserve">主项保留自由重量</x:t>
  </x:si>
  <x:si>
    <x:t xml:space="preserve">主项完成/动作质量/不适</x:t>
  </x:si>
  <x:si>
    <x:t xml:space="preserve">必要时退阶</x:t>
  </x:si>
  <x:si>
    <x:t xml:space="preserve">杠铃卧推…协调性稳定性…筛查</x:t>
  </x:si>
  <x:si>
    <x:t xml:space="preserve">M003</x:t>
  </x:si>
  <x:si>
    <x:t xml:space="preserve">主项力竭</x:t>
  </x:si>
  <x:si>
    <x:t xml:space="preserve">较重复合动作一般不力竭</x:t>
  </x:si>
  <x:si>
    <x:t xml:space="preserve">主项默认RPE约8/留2余量</x:t>
  </x:si>
  <x:si>
    <x:t xml:space="preserve">RPE/力竭</x:t>
  </x:si>
  <x:si>
    <x:t xml:space="preserve">超目标则维持或降重</x:t>
  </x:si>
  <x:si>
    <x:t xml:space="preserve">复合动作比较重…不建议力竭</x:t>
  </x:si>
  <x:si>
    <x:t xml:space="preserve">M004</x:t>
  </x:si>
  <x:si>
    <x:t xml:space="preserve">孤立力竭</x:t>
  </x:si>
  <x:si>
    <x:t xml:space="preserve">低重量单关节难借力动作可力竭</x:t>
  </x:si>
  <x:si>
    <x:t xml:space="preserve">孤立动作允许failure策略</x:t>
  </x:si>
  <x:si>
    <x:t xml:space="preserve">力竭/动作质量</x:t>
  </x:si>
  <x:si>
    <x:t xml:space="preserve">按动作规则推进</x:t>
  </x:si>
  <x:si>
    <x:t xml:space="preserve">单关节…重量不重…做到力竭</x:t>
  </x:si>
  <x:si>
    <x:t xml:space="preserve">M005</x:t>
  </x:si>
  <x:si>
    <x:t xml:space="preserve">渐进</x:t>
  </x:si>
  <x:si>
    <x:t xml:space="preserve">不仅加重量，也改次数/组数/阶段</x:t>
  </x:si>
  <x:si>
    <x:t xml:space="preserve">Progression状态机</x:t>
  </x:si>
  <x:si>
    <x:t xml:space="preserve">stage/sets/reps/weight/RPE</x:t>
  </x:si>
  <x:si>
    <x:t xml:space="preserve">阶段迁移</x:t>
  </x:si>
  <x:si>
    <x:t xml:space="preserve">15/12/10/8…8…6…5</x:t>
  </x:si>
  <x:si>
    <x:t xml:space="preserve">M006</x:t>
  </x:si>
  <x:si>
    <x:t xml:space="preserve">RPE/RIR</x:t>
  </x:si>
  <x:si>
    <x:t xml:space="preserve">RPE8约留2次余量</x:t>
  </x:si>
  <x:si>
    <x:t xml:space="preserve">处方与实际都记录</x:t>
  </x:si>
  <x:si>
    <x:t xml:space="preserve">target/actual RPE</x:t>
  </x:si>
  <x:si>
    <x:t xml:space="preserve">偏差调整</x:t>
  </x:si>
  <x:si>
    <x:t xml:space="preserve">两个余量…RPE8</x:t>
  </x:si>
  <x:si>
    <x:t xml:space="preserve">M007</x:t>
  </x:si>
  <x:si>
    <x:t xml:space="preserve">RM</x:t>
  </x:si>
  <x:si>
    <x:t xml:space="preserve">RM=力竭次数且动态</x:t>
  </x:si>
  <x:si>
    <x:t xml:space="preserve">同RM目标下可随组次降重量</x:t>
  </x:si>
  <x:si>
    <x:t xml:space="preserve">重量/次数/力竭</x:t>
  </x:si>
  <x:si>
    <x:t xml:space="preserve">动态调重</x:t>
  </x:si>
  <x:si>
    <x:t xml:space="preserve">RM…力竭次数…动态</x:t>
  </x:si>
  <x:si>
    <x:t xml:space="preserve">M008</x:t>
  </x:si>
  <x:si>
    <x:t xml:space="preserve">组间歇</x:t>
  </x:si>
  <x:si>
    <x:t xml:space="preserve">休息服务于完成训练计划</x:t>
  </x:si>
  <x:si>
    <x:t xml:space="preserve">按强度与恢复动态计时</x:t>
  </x:si>
  <x:si>
    <x:t xml:space="preserve">rest/下一组完成</x:t>
  </x:si>
  <x:si>
    <x:t xml:space="preserve">必要时延长</x:t>
  </x:si>
  <x:si>
    <x:t xml:space="preserve">最终都要服务于训练计划</x:t>
  </x:si>
  <x:si>
    <x:t xml:space="preserve">M009</x:t>
  </x:si>
  <x:si>
    <x:t xml:space="preserve">训练频率</x:t>
  </x:si>
  <x:si>
    <x:t xml:space="preserve">三分化不等于固定三练一休</x:t>
  </x:si>
  <x:si>
    <x:t xml:space="preserve">按恢复插休息；不推荐四练一休</x:t>
  </x:si>
  <x:si>
    <x:t xml:space="preserve">恢复指标</x:t>
  </x:si>
  <x:si>
    <x:t xml:space="preserve">休息/继续</x:t>
  </x:si>
  <x:si>
    <x:t xml:space="preserve">三分化是不是练三天歇一天 不一定</x:t>
  </x:si>
  <x:si>
    <x:t xml:space="preserve">M010</x:t>
  </x:si>
  <x:si>
    <x:t xml:space="preserve">恢复</x:t>
  </x:si>
  <x:si>
    <x:t xml:space="preserve">进步发生在恢复过程</x:t>
  </x:si>
  <x:si>
    <x:t xml:space="preserve">Recovery进入Runtime决策</x:t>
  </x:si>
  <x:si>
    <x:t xml:space="preserve">恢复后继续</x:t>
  </x:si>
  <x:si>
    <x:t xml:space="preserve">恢复的过程当中进步</x:t>
  </x:si>
  <x:si>
    <x:t xml:space="preserve">M011</x:t>
  </x:si>
  <x:si>
    <x:t xml:space="preserve">动作质量</x:t>
  </x:si>
  <x:si>
    <x:t xml:space="preserve">重重量下仍稳定才叫质量</x:t>
  </x:si>
  <x:si>
    <x:t xml:space="preserve">不以变形换progression</x:t>
  </x:si>
  <x:si>
    <x:t xml:space="preserve">form/代偿/疼痛</x:t>
  </x:si>
  <x:si>
    <x:t xml:space="preserve">不升级/降重</x:t>
  </x:si>
  <x:si>
    <x:t xml:space="preserve">相对比较重…仍然稳定</x:t>
  </x:si>
  <x:si>
    <x:t xml:space="preserve">M012</x:t>
  </x:si>
  <x:si>
    <x:t xml:space="preserve">肌肉感受</x:t>
  </x:si>
  <x:si>
    <x:t xml:space="preserve">背部等动作感觉差时质量优先</x:t>
  </x:si>
  <x:si>
    <x:t xml:space="preserve">部分动作记录目标肌感受</x:t>
  </x:si>
  <x:si>
    <x:t xml:space="preserve">feel</x:t>
  </x:si>
  <x:si>
    <x:t xml:space="preserve">降重/改次数/角度</x:t>
  </x:si>
  <x:si>
    <x:t xml:space="preserve">感觉不好…四组都是12次</x:t>
  </x:si>
  <x:si>
    <x:t xml:space="preserve">M013</x:t>
  </x:si>
  <x:si>
    <x:t xml:space="preserve">周期微调</x:t>
  </x:si>
  <x:si>
    <x:t xml:space="preserve">约1个月后可因疲劳/别扭/刺激调整</x:t>
  </x:si>
  <x:si>
    <x:t xml:space="preserve">Method不是永久固定动作表</x:t>
  </x:si>
  <x:si>
    <x:t xml:space="preserve">周期/不适/疲劳</x:t>
  </x:si>
  <x:si>
    <x:t xml:space="preserve">替代/容量转移</x:t>
  </x:si>
  <x:si>
    <x:t xml:space="preserve">一个月以后…动作上的微调</x:t>
  </x:si>
  <x:si>
    <x:t xml:space="preserve">三分化 Program Template</x:t>
  </x:si>
  <x:si>
    <x:t xml:space="preserve">动作名以转写为准；ASR不稳定或顺序冲突不擅自修正。</x:t>
  </x:si>
  <x:si>
    <x:t xml:space="preserve">Day</x:t>
  </x:si>
  <x:si>
    <x:t xml:space="preserve">训练主题</x:t>
  </x:si>
  <x:si>
    <x:t xml:space="preserve">顺序</x:t>
  </x:si>
  <x:si>
    <x:t xml:space="preserve">文稿动作名</x:t>
  </x:si>
  <x:si>
    <x:t xml:space="preserve">Canonical建议</x:t>
  </x:si>
  <x:si>
    <x:t xml:space="preserve">角色</x:t>
  </x:si>
  <x:si>
    <x:t xml:space="preserve">主要作用</x:t>
  </x:si>
  <x:si>
    <x:t xml:space="preserve">首轮处方</x:t>
  </x:si>
  <x:si>
    <x:t xml:space="preserve">强度/力竭</x:t>
  </x:si>
  <x:si>
    <x:t xml:space="preserve">递进摘要</x:t>
  </x:si>
  <x:si>
    <x:t xml:space="preserve">退阶/替代</x:t>
  </x:si>
  <x:si>
    <x:t xml:space="preserve">视觉依赖</x:t>
  </x:si>
  <x:si>
    <x:t xml:space="preserve">Day1</x:t>
  </x:si>
  <x:si>
    <x:t xml:space="preserve">胸+中束+三头</x:t>
  </x:si>
  <x:si>
    <x:t xml:space="preserve">杠铃卧推</x:t>
  </x:si>
  <x:si>
    <x:t xml:space="preserve">主项</x:t>
  </x:si>
  <x:si>
    <x:t xml:space="preserve">推能力/协调稳定/力量主线</x:t>
  </x:si>
  <x:si>
    <x:t xml:space="preserve">热身15；正式12/10/8</x:t>
  </x:si>
  <x:si>
    <x:t xml:space="preserve">RPE8，不力竭</x:t>
  </x:si>
  <x:si>
    <x:t xml:space="preserve">3x8→4x8→2/3/4x6→2/3/4x5</x:t>
  </x:si>
  <x:si>
    <x:t xml:space="preserve">强调保留</x:t>
  </x:si>
  <x:si>
    <x:t xml:space="preserve">哑铃上斜卧推</x:t>
  </x:si>
  <x:si>
    <x:t xml:space="preserve">上斜哑铃卧推</x:t>
  </x:si>
  <x:si>
    <x:t xml:space="preserve">复合辅助</x:t>
  </x:si>
  <x:si>
    <x:t xml:space="preserve">上胸/胸锁延长线/技术</x:t>
  </x:si>
  <x:si>
    <x:t xml:space="preserve">4x12</x:t>
  </x:si>
  <x:si>
    <x:t xml:space="preserve">初期RIR2-3；后期近力竭</x:t>
  </x:si>
  <x:si>
    <x:t xml:space="preserve">末组9~9.5→最多2组力竭→标准后加重</x:t>
  </x:si>
  <x:si>
    <x:t xml:space="preserve">约45°口头出现</x:t>
  </x:si>
  <x:si>
    <x:t xml:space="preserve">双杠臂屈伸</x:t>
  </x:si>
  <x:si>
    <x:t xml:space="preserve">下胸/三头/前束/肩胛</x:t>
  </x:si>
  <x:si>
    <x:t xml:space="preserve">4x12或能力范围</x:t>
  </x:si>
  <x:si>
    <x:t xml:space="preserve">允许力竭</x:t>
  </x:si>
  <x:si>
    <x:t xml:space="preserve">能力与标准动作推进</x:t>
  </x:si>
  <x:si>
    <x:t xml:space="preserve">跪垫+凳子支撑；俯卧撑同类</x:t>
  </x:si>
  <x:si>
    <x:t xml:space="preserve">中</x:t>
  </x:si>
  <x:si>
    <x:t xml:space="preserve">仰卧杠铃臂屈伸</x:t>
  </x:si>
  <x:si>
    <x:t xml:space="preserve">仰卧臂屈伸（肩屈位）</x:t>
  </x:si>
  <x:si>
    <x:t xml:space="preserve">孤立辅助</x:t>
  </x:si>
  <x:si>
    <x:t xml:space="preserve">三头</x:t>
  </x:si>
  <x:si>
    <x:t xml:space="preserve">4x15</x:t>
  </x:si>
  <x:si>
    <x:t xml:space="preserve">RPE8不力竭</x:t>
  </x:si>
  <x:si>
    <x:t xml:space="preserve">逐步4x12→末2组力竭→加重</x:t>
  </x:si>
  <x:si>
    <x:t xml:space="preserve">约1月后可换下压</x:t>
  </x:si>
  <x:si>
    <x:t xml:space="preserve">孤立</x:t>
  </x:si>
  <x:si>
    <x:t xml:space="preserve">三角肌中束</x:t>
  </x:si>
  <x:si>
    <x:t xml:space="preserve">3x10+10</x:t>
  </x:si>
  <x:si>
    <x:t xml:space="preserve">5秒rest-pause，基本力竭</x:t>
  </x:si>
  <x:si>
    <x:t xml:space="preserve">长期递进未明确</x:t>
  </x:si>
  <x:si>
    <x:t xml:space="preserve">Day2</x:t>
  </x:si>
  <x:si>
    <x:t xml:space="preserve">背+后束+二头</x:t>
  </x:si>
  <x:si>
    <x:t xml:space="preserve">单手钢线下拉</x:t>
  </x:si>
  <x:si>
    <x:t xml:space="preserve">单手绳索下拉</x:t>
  </x:si>
  <x:si>
    <x:t xml:space="preserve">技术/背阔优先</x:t>
  </x:si>
  <x:si>
    <x:t xml:space="preserve">背阔</x:t>
  </x:si>
  <x:si>
    <x:t xml:space="preserve">前3x12；末10+5</x:t>
  </x:si>
  <x:si>
    <x:t xml:space="preserve">前3不力竭；末组力竭结构</x:t>
  </x:si>
  <x:si>
    <x:t xml:space="preserve">增加10+5组→质量好再加重</x:t>
  </x:si>
  <x:si>
    <x:t xml:space="preserve">对握下拉</x:t>
  </x:si>
  <x:si>
    <x:t xml:space="preserve">对握高位下拉</x:t>
  </x:si>
  <x:si>
    <x:t xml:space="preserve">较重辅助</x:t>
  </x:si>
  <x:si>
    <x:t xml:space="preserve">圆肌+背阔</x:t>
  </x:si>
  <x:si>
    <x:t xml:space="preserve">4组8~12</x:t>
  </x:si>
  <x:si>
    <x:t xml:space="preserve">熟练度决定次数</x:t>
  </x:si>
  <x:si>
    <x:t xml:space="preserve">感觉差全12；熟练后更多8并加重</x:t>
  </x:si>
  <x:si>
    <x:t xml:space="preserve">单手器械划船</x:t>
  </x:si>
  <x:si>
    <x:t xml:space="preserve">背阔/机械张力</x:t>
  </x:si>
  <x:si>
    <x:t xml:space="preserve">前3x10；末10+5</x:t>
  </x:si>
  <x:si>
    <x:t xml:space="preserve">前3不力竭；末力竭结构</x:t>
  </x:si>
  <x:si>
    <x:t xml:space="preserve">周2/3增加10+5→减2组加重循环</x:t>
  </x:si>
  <x:si>
    <x:t xml:space="preserve">无器械可单手哑铃</x:t>
  </x:si>
  <x:si>
    <x:t xml:space="preserve">坐姿开肘划船</x:t>
  </x:si>
  <x:si>
    <x:t xml:space="preserve">功能辅助</x:t>
  </x:si>
  <x:si>
    <x:t xml:space="preserve">未明确</x:t>
  </x:si>
  <x:si>
    <x:t xml:space="preserve">强调感觉/不抡甩</x:t>
  </x:si>
  <x:si>
    <x:t xml:space="preserve">海豹划船可替代</x:t>
  </x:si>
  <x:si>
    <x:t xml:space="preserve">Exercise Protocol｜动作执行与可追踪 Cue</x:t>
  </x:si>
  <x:si>
    <x:t xml:space="preserve">把长篇讲解拆成训练时可显示/可勾选的cue；空间关系高度依赖画面的标为visual_required。</x:t>
  </x:si>
  <x:si>
    <x:t xml:space="preserve">动作</x:t>
  </x:si>
  <x:si>
    <x:t xml:space="preserve">起始/摆位Cue</x:t>
  </x:si>
  <x:si>
    <x:t xml:space="preserve">向心Cue</x:t>
  </x:si>
  <x:si>
    <x:t xml:space="preserve">离心Cue</x:t>
  </x:si>
  <x:si>
    <x:t xml:space="preserve">呼吸Cue</x:t>
  </x:si>
  <x:si>
    <x:t xml:space="preserve">ROM/终点</x:t>
  </x:si>
  <x:si>
    <x:t xml:space="preserve">目标感受</x:t>
  </x:si>
  <x:si>
    <x:t xml:space="preserve">常见错误/代偿</x:t>
  </x:si>
  <x:si>
    <x:t xml:space="preserve">停止/退阶条件</x:t>
  </x:si>
  <x:si>
    <x:t xml:space="preserve">替代/退阶</x:t>
  </x:si>
  <x:si>
    <x:t xml:space="preserve">Progression</x:t>
  </x:si>
  <x:si>
    <x:t xml:space="preserve">visual_required</x:t>
  </x:si>
  <x:si>
    <x:t xml:space="preserve">眼睛在杠正下；找握距；杠过大小鱼际；胸腔抬起；肩胛后缩；脚腿稳定</x:t>
  </x:si>
  <x:si>
    <x:t xml:space="preserve">整体协同推起；腿用于稳定链条</x:t>
  </x:si>
  <x:si>
    <x:t xml:space="preserve">肩胛离心内收/配合功能</x:t>
  </x:si>
  <x:si>
    <x:t xml:space="preserve">维持胸廓扩张；高次数注意换气</x:t>
  </x:si>
  <x:si>
    <x:t xml:space="preserve">整体推能力+稳定</x:t>
  </x:si>
  <x:si>
    <x:t xml:space="preserve">屁股离凳/别人帮带/明显变形/肩前移</x:t>
  </x:si>
  <x:si>
    <x:t xml:space="preserve">无默认替代</x:t>
  </x:si>
  <x:si>
    <x:t xml:space="preserve">15热身+12/10/8</x:t>
  </x:si>
  <x:si>
    <x:t xml:space="preserve">见05</x:t>
  </x:si>
  <x:si>
    <x:t xml:space="preserve">是</x:t>
  </x:si>
  <x:si>
    <x:t xml:space="preserve">眼睛在杠铃正下方；肩胛；胸廓；屁股离开凳子</x:t>
  </x:si>
  <x:si>
    <x:t xml:space="preserve">主动完整收缩，顶端不散</x:t>
  </x:si>
  <x:si>
    <x:t xml:space="preserve">下放打开胸腔，肩胛内收不受限</x:t>
  </x:si>
  <x:si>
    <x:t xml:space="preserve">持续张力下换气</x:t>
  </x:si>
  <x:si>
    <x:t xml:space="preserve">不要照搬平板杠铃技巧</x:t>
  </x:si>
  <x:si>
    <x:t xml:space="preserve">上胸</x:t>
  </x:si>
  <x:si>
    <x:t xml:space="preserve">刻意沉肩/角度不合/肩别扭</x:t>
  </x:si>
  <x:si>
    <x:t xml:space="preserve">不适先查角度与沉肩指令</x:t>
  </x:si>
  <x:si>
    <x:t xml:space="preserve">RIR2-3→后期近/到力竭</x:t>
  </x:si>
  <x:si>
    <x:t xml:space="preserve">最多2组标准力竭后加重</x:t>
  </x:si>
  <x:si>
    <x:t xml:space="preserve">45度左右；不要给自己沉肩指令</x:t>
  </x:si>
  <x:si>
    <x:t xml:space="preserve">具备支撑能力</x:t>
  </x:si>
  <x:si>
    <x:t xml:space="preserve">按能力完成标准动作</x:t>
  </x:si>
  <x:si>
    <x:t xml:space="preserve">保持肩胛参与</x:t>
  </x:si>
  <x:si>
    <x:t xml:space="preserve">可控幅度</x:t>
  </x:si>
  <x:si>
    <x:t xml:space="preserve">下胸/三头/前束</x:t>
  </x:si>
  <x:si>
    <x:t xml:space="preserve">做不了仍硬做</x:t>
  </x:si>
  <x:si>
    <x:t xml:space="preserve">无法标准完成则退阶</x:t>
  </x:si>
  <x:si>
    <x:t xml:space="preserve">跪垫+凳子支撑；俯卧撑</x:t>
  </x:si>
  <x:si>
    <x:t xml:space="preserve">能力推进</x:t>
  </x:si>
  <x:si>
    <x:t xml:space="preserve">仰卧臂屈伸</x:t>
  </x:si>
  <x:si>
    <x:t xml:space="preserve">肩屈位</x:t>
  </x:si>
  <x:si>
    <x:t xml:space="preserve">保持三头张力</x:t>
  </x:si>
  <x:si>
    <x:t xml:space="preserve">需视频补</x:t>
  </x:si>
  <x:si>
    <x:t xml:space="preserve">需视频</x:t>
  </x:si>
  <x:si>
    <x:t xml:space="preserve">疲劳累积仍硬做同刺激</x:t>
  </x:si>
  <x:si>
    <x:t xml:space="preserve">约1月后可换动作</x:t>
  </x:si>
  <x:si>
    <x:t xml:space="preserve">肩伸位下压</x:t>
  </x:si>
  <x:si>
    <x:t xml:space="preserve">肩屈位；四组15；加入一组12</x:t>
  </x:si>
  <x:si>
    <x:t xml:space="preserve">外旋位置</x:t>
  </x:si>
  <x:si>
    <x:t xml:space="preserve">中束主导</x:t>
  </x:si>
  <x:si>
    <x:t xml:space="preserve">10+10间休5秒</x:t>
  </x:si>
  <x:si>
    <x:t xml:space="preserve">借力/其他肌群参与</x:t>
  </x:si>
  <x:si>
    <x:t xml:space="preserve">无法孤立则降重</x:t>
  </x:si>
  <x:si>
    <x:t xml:space="preserve">无</x:t>
  </x:si>
  <x:si>
    <x:t xml:space="preserve">基本力竭</x:t>
  </x:si>
  <x:si>
    <x:t xml:space="preserve">技术/背阔</x:t>
  </x:si>
  <x:si>
    <x:t xml:space="preserve">对抗收紧，重量放背阔</x:t>
  </x:si>
  <x:si>
    <x:t xml:space="preserve">离心保持张力、背阔拉长</x:t>
  </x:si>
  <x:si>
    <x:t xml:space="preserve">离心向后侧吸气</x:t>
  </x:si>
  <x:si>
    <x:t xml:space="preserve">背阔持续张力</x:t>
  </x:si>
  <x:si>
    <x:t xml:space="preserve">离心丢张力/侧屈旋转后仰/追重量</x:t>
  </x:si>
  <x:si>
    <x:t xml:space="preserve">肌感差降重/调角度</x:t>
  </x:si>
  <x:si>
    <x:t xml:space="preserve">前3x12+末10+5</x:t>
  </x:si>
  <x:si>
    <x:t xml:space="preserve">末组近/到力竭</x:t>
  </x:si>
  <x:si>
    <x:t xml:space="preserve">增加10+5→加重</x:t>
  </x:si>
  <x:si>
    <x:t xml:space="preserve">不要有太多侧屈和旋转；离心没有张力</x:t>
  </x:si>
  <x:si>
    <x:t xml:space="preserve">按熟练度选8~12</x:t>
  </x:si>
  <x:si>
    <x:t xml:space="preserve">保持目标肌张力</x:t>
  </x:si>
  <x:si>
    <x:t xml:space="preserve">需补</x:t>
  </x:si>
  <x:si>
    <x:t xml:space="preserve">感觉差仍追重</x:t>
  </x:si>
  <x:si>
    <x:t xml:space="preserve">感觉差用12次/降强度</x:t>
  </x:si>
  <x:si>
    <x:t xml:space="preserve">不以力竭为核心</x:t>
  </x:si>
  <x:si>
    <x:t xml:space="preserve">熟练后更多8并加重</x:t>
  </x:si>
  <x:si>
    <x:t xml:space="preserve">重量相对来说比较重要</x:t>
  </x:si>
  <x:si>
    <x:t xml:space="preserve">更多支点；肩屈要求较低</x:t>
  </x:si>
  <x:si>
    <x:t xml:space="preserve">用背阔拉，不靠身体抡</x:t>
  </x:si>
  <x:si>
    <x:t xml:space="preserve">保持张力</x:t>
  </x:si>
  <x:si>
    <x:t xml:space="preserve">幅度不必大，肌感优先</x:t>
  </x:si>
  <x:si>
    <x:t xml:space="preserve">追幅度/重量丢肌感</x:t>
  </x:si>
  <x:si>
    <x:t xml:space="preserve">感觉差减幅/重量</x:t>
  </x:si>
  <x:si>
    <x:t xml:space="preserve">单手哑铃</x:t>
  </x:si>
  <x:si>
    <x:t xml:space="preserve">前3x10+末10+5</x:t>
  </x:si>
  <x:si>
    <x:t xml:space="preserve">末组力竭结构</x:t>
  </x:si>
  <x:si>
    <x:t xml:space="preserve">增加10+5→减2组加重循环</x:t>
  </x:si>
  <x:si>
    <x:t xml:space="preserve">第二个动作是单手的器械划船；幅度小</x:t>
  </x:si>
  <x:si>
    <x:t xml:space="preserve">轨迹匹配目标纤维</x:t>
  </x:si>
  <x:si>
    <x:t xml:space="preserve">肩胛内收，中下斜方发力</x:t>
  </x:si>
  <x:si>
    <x:t xml:space="preserve">控制回程</x:t>
  </x:si>
  <x:si>
    <x:t xml:space="preserve">不靠身体甩</x:t>
  </x:si>
  <x:si>
    <x:t xml:space="preserve">抡/甩/借力</x:t>
  </x:si>
  <x:si>
    <x:t xml:space="preserve">感受差降重/换器械</x:t>
  </x:si>
  <x:si>
    <x:t xml:space="preserve">海豹划船/滑轮</x:t>
  </x:si>
  <x:si>
    <x:t xml:space="preserve">强调感觉</x:t>
  </x:si>
  <x:si>
    <x:t xml:space="preserve">保持二头刺激</x:t>
  </x:si>
  <x:si>
    <x:t xml:space="preserve">肱二头</x:t>
  </x:si>
  <x:si>
    <x:t xml:space="preserve">需确认动作名/姿势</x:t>
  </x:si>
  <x:si>
    <x:t xml:space="preserve">约1月后可切换刺激</x:t>
  </x:si>
  <x:si>
    <x:t xml:space="preserve">周期后调整</x:t>
  </x:si>
  <x:si>
    <x:t xml:space="preserve">钢线弯举；肩屈位的弯举</x:t>
  </x:si>
  <x:si>
    <x:t xml:space="preserve">单腿硬拉</x:t>
  </x:si>
  <x:si>
    <x:t xml:space="preserve">Day3</x:t>
  </x:si>
  <x:si>
    <x:t xml:space="preserve">功能单侧</x:t>
  </x:si>
  <x:si>
    <x:t xml:space="preserve">尽量不扶；支撑脚抓地；胸腔骨盆对位；髋为轴</x:t>
  </x:si>
  <x:si>
    <x:t xml:space="preserve">臀/后侧链拉起；肩和抬腿整体转动</x:t>
  </x:si>
  <x:si>
    <x:t xml:space="preserve">后侧链拉长；在可控髋屈内下放</x:t>
  </x:si>
  <x:si>
    <x:t xml:space="preserve">不追固定下放高度；腰弯前停止</x:t>
  </x:si>
  <x:si>
    <x:t xml:space="preserve">臀/腘绳/稳定肌</x:t>
  </x:si>
  <x:si>
    <x:t xml:space="preserve">身体旋转/屈髋受限后用腰补行程/哑铃离髋远</x:t>
  </x:si>
  <x:si>
    <x:t xml:space="preserve">不稳轻扶；腰代偿缩ROM</x:t>
  </x:si>
  <x:si>
    <x:t xml:space="preserve">棍/墙轻扶</x:t>
  </x:si>
  <x:si>
    <x:t xml:space="preserve">按次数</x:t>
  </x:si>
  <x:si>
    <x:t xml:space="preserve">前期不力竭</x:t>
  </x:si>
  <x:si>
    <x:t xml:space="preserve">稳定与髋铰链质量优先</x:t>
  </x:si>
  <x:si>
    <x:t xml:space="preserve">脚趾抓地；胸腔对位；腰开始往下放</x:t>
  </x:si>
  <x:si>
    <x:t xml:space="preserve">保加利亚分腿蹲</x:t>
  </x:si>
  <x:si>
    <x:t xml:space="preserve">需跟练结构化</x:t>
  </x:si>
  <x:si>
    <x:t xml:space="preserve">骨盆稳定/臀中臀小</x:t>
  </x:si>
  <x:si>
    <x:t xml:space="preserve">稳定不足需调整</x:t>
  </x:si>
  <x:si>
    <x:t xml:space="preserve">待确认</x:t>
  </x:si>
  <x:si>
    <x:t xml:space="preserve">功能开发</x:t>
  </x:si>
  <x:si>
    <x:t xml:space="preserve">保加利亚蹲；骨盆稳定</x:t>
  </x:si>
  <x:si>
    <x:t xml:space="preserve">颈前深蹲</x:t>
  </x:si>
  <x:si>
    <x:t xml:space="preserve">复合功能</x:t>
  </x:si>
  <x:si>
    <x:t xml:space="preserve">股四头/全身功能</x:t>
  </x:si>
  <x:si>
    <x:t xml:space="preserve">足背屈问题可能影响</x:t>
  </x:si>
  <x:si>
    <x:t xml:space="preserve">能力不足需调整</x:t>
  </x:si>
  <x:si>
    <x:t xml:space="preserve">技术优先</x:t>
  </x:si>
  <x:si>
    <x:t xml:space="preserve">颈前深蹲；股四头；足背屈</x:t>
  </x:si>
  <x:si>
    <x:t xml:space="preserve">罗马尼亚硬拉</x:t>
  </x:si>
  <x:si>
    <x:t xml:space="preserve">复合后侧链</x:t>
  </x:si>
  <x:si>
    <x:t xml:space="preserve">先建髋铰链/核心/上背刚性</x:t>
  </x:si>
  <x:si>
    <x:t xml:space="preserve">臀/腘绳髋伸</x:t>
  </x:si>
  <x:si>
    <x:t xml:space="preserve">后侧链保持张力</x:t>
  </x:si>
  <x:si>
    <x:t xml:space="preserve">由髋铰链和腰背稳定决定</x:t>
  </x:si>
  <x:si>
    <x:t xml:space="preserve">臀+腘绳</x:t>
  </x:si>
  <x:si>
    <x:t xml:space="preserve">不会髋铰链直接追重量/腰代偿</x:t>
  </x:si>
  <x:si>
    <x:t xml:space="preserve">能力不足先学习</x:t>
  </x:si>
  <x:si>
    <x:t xml:space="preserve">能力后再提高强度</x:t>
  </x:si>
  <x:si>
    <x:t xml:space="preserve">髋铰链核心刚性上背刚性</x:t>
  </x:si>
  <x:si>
    <x:t xml:space="preserve">山羊挺身</x:t>
  </x:si>
  <x:si>
    <x:t xml:space="preserve">后侧链</x:t>
  </x:si>
  <x:si>
    <x:t xml:space="preserve">膝微屈；上身整体；屈髋</x:t>
  </x:si>
  <x:si>
    <x:t xml:space="preserve">按目标发力</x:t>
  </x:si>
  <x:si>
    <x:t xml:space="preserve">下放角度不用过大</x:t>
  </x:si>
  <x:si>
    <x:t xml:space="preserve">按目标肌和稳定控制</x:t>
  </x:si>
  <x:si>
    <x:t xml:space="preserve">竖脊肌+后侧</x:t>
  </x:si>
  <x:si>
    <x:t xml:space="preserve">行程过大/上身松</x:t>
  </x:si>
  <x:si>
    <x:t xml:space="preserve">无器械替代</x:t>
  </x:si>
  <x:si>
    <x:t xml:space="preserve">瑜伽垫俯卧抬上身+固定脚</x:t>
  </x:si>
  <x:si>
    <x:t xml:space="preserve">熟练后可轻负重</x:t>
  </x:si>
  <x:si>
    <x:t xml:space="preserve">膝盖微屈；上身整体；下放角度不用太大</x:t>
  </x:si>
  <x:si>
    <x:t xml:space="preserve">Progression State Machine｜下一次到底怎么变</x:t>
  </x:si>
  <x:si>
    <x:t xml:space="preserve">核心访谈点：用户是否接受系统根据这些字段给出“维持/加组/改次数/加重/退阶”。</x:t>
  </x:si>
  <x:si>
    <x:t xml:space="preserve">RuleID</x:t>
  </x:si>
  <x:si>
    <x:t xml:space="preserve">动作/范围</x:t>
  </x:si>
  <x:si>
    <x:t xml:space="preserve">阶段</x:t>
  </x:si>
  <x:si>
    <x:t xml:space="preserve">当前处方</x:t>
  </x:si>
  <x:si>
    <x:t xml:space="preserve">目标强度</x:t>
  </x:si>
  <x:si>
    <x:t xml:space="preserve">完成条件</x:t>
  </x:si>
  <x:si>
    <x:t xml:space="preserve">下一状态</x:t>
  </x:si>
  <x:si>
    <x:t xml:space="preserve">未完成时</x:t>
  </x:si>
  <x:si>
    <x:t xml:space="preserve">需要字段</x:t>
  </x:si>
  <x:si>
    <x:t xml:space="preserve">自动化建议</x:t>
  </x:si>
  <x:si>
    <x:t xml:space="preserve">用户是否接受</x:t>
  </x:si>
  <x:si>
    <x:t xml:space="preserve">用户反馈</x:t>
  </x:si>
  <x:si>
    <x:t xml:space="preserve">P-BP-01</x:t>
  </x:si>
  <x:si>
    <x:t xml:space="preserve">起始</x:t>
  </x:si>
  <x:si>
    <x:t xml:space="preserve">RPE8</x:t>
  </x:si>
  <x:si>
    <x:t xml:space="preserve">次数完成+约2余量+动作不明显变形</x:t>
  </x:si>
  <x:si>
    <x:t xml:space="preserve">15+12/8/8</x:t>
  </x:si>
  <x:si>
    <x:t xml:space="preserve">维持/调重量</x:t>
  </x:si>
  <x:si>
    <x:t xml:space="preserve">reps/weight/RPE/form</x:t>
  </x:si>
  <x:si>
    <x:t xml:space="preserve">P-BP-02</x:t>
  </x:si>
  <x:si>
    <x:t xml:space="preserve">过渡</x:t>
  </x:si>
  <x:si>
    <x:t xml:space="preserve">同上</x:t>
  </x:si>
  <x:si>
    <x:t xml:space="preserve">热身+3x8</x:t>
  </x:si>
  <x:si>
    <x:t xml:space="preserve">维持</x:t>
  </x:si>
  <x:si>
    <x:t xml:space="preserve">P-BP-03</x:t>
  </x:si>
  <x:si>
    <x:t xml:space="preserve">3x8</x:t>
  </x:si>
  <x:si>
    <x:t xml:space="preserve">熟练/协调提升且完成</x:t>
  </x:si>
  <x:si>
    <x:t xml:space="preserve">4x8</x:t>
  </x:si>
  <x:si>
    <x:t xml:space="preserve">P-BP-04</x:t>
  </x:si>
  <x:si>
    <x:t xml:space="preserve">热身+4x8</x:t>
  </x:si>
  <x:si>
    <x:t xml:space="preserve">完成</x:t>
  </x:si>
  <x:si>
    <x:t xml:space="preserve">2x6</x:t>
  </x:si>
  <x:si>
    <x:t xml:space="preserve">P-BP-05</x:t>
  </x:si>
  <x:si>
    <x:t xml:space="preserve">6次1</x:t>
  </x:si>
  <x:si>
    <x:t xml:space="preserve">热身+2x6</x:t>
  </x:si>
  <x:si>
    <x:t xml:space="preserve">3x6</x:t>
  </x:si>
  <x:si>
    <x:t xml:space="preserve">维持/调重</x:t>
  </x:si>
  <x:si>
    <x:t xml:space="preserve">P-BP-06</x:t>
  </x:si>
  <x:si>
    <x:t xml:space="preserve">6次2</x:t>
  </x:si>
  <x:si>
    <x:t xml:space="preserve">热身+3x6</x:t>
  </x:si>
  <x:si>
    <x:t xml:space="preserve">4x6</x:t>
  </x:si>
  <x:si>
    <x:t xml:space="preserve">P-BP-07</x:t>
  </x:si>
  <x:si>
    <x:t xml:space="preserve">6次3</x:t>
  </x:si>
  <x:si>
    <x:t xml:space="preserve">热身+4x6</x:t>
  </x:si>
  <x:si>
    <x:t xml:space="preserve">2x5</x:t>
  </x:si>
  <x:si>
    <x:t xml:space="preserve">维持/恢复</x:t>
  </x:si>
  <x:si>
    <x:t xml:space="preserve">同上+recovery</x:t>
  </x:si>
  <x:si>
    <x:t xml:space="preserve">P-BP-08</x:t>
  </x:si>
  <x:si>
    <x:t xml:space="preserve">5次1</x:t>
  </x:si>
  <x:si>
    <x:t xml:space="preserve">热身+2x5</x:t>
  </x:si>
  <x:si>
    <x:t xml:space="preserve">3x5</x:t>
  </x:si>
  <x:si>
    <x:t xml:space="preserve">P-BP-09</x:t>
  </x:si>
  <x:si>
    <x:t xml:space="preserve">5次2</x:t>
  </x:si>
  <x:si>
    <x:t xml:space="preserve">热身+3x5</x:t>
  </x:si>
  <x:si>
    <x:t xml:space="preserve">4x5</x:t>
  </x:si>
  <x:si>
    <x:t xml:space="preserve">P-INC-01</x:t>
  </x:si>
  <x:si>
    <x:t xml:space="preserve">上斜哑铃</x:t>
  </x:si>
  <x:si>
    <x:t xml:space="preserve">RIR2-3</x:t>
  </x:si>
  <x:si>
    <x:t xml:space="preserve">四组标准完成</x:t>
  </x:si>
  <x:si>
    <x:t xml:space="preserve">末1组RPE9~9.5</x:t>
  </x:si>
  <x:si>
    <x:t xml:space="preserve">中高</x:t>
  </x:si>
  <x:si>
    <x:t xml:space="preserve">P-INC-02</x:t>
  </x:si>
  <x:si>
    <x:t xml:space="preserve">进阶</x:t>
  </x:si>
  <x:si>
    <x:t xml:space="preserve">末1组近力竭</x:t>
  </x:si>
  <x:si>
    <x:t xml:space="preserve">9~9.5</x:t>
  </x:si>
  <x:si>
    <x:t xml:space="preserve">标准可控</x:t>
  </x:si>
  <x:si>
    <x:t xml:space="preserve">最多2组力竭</x:t>
  </x:si>
  <x:si>
    <x:t xml:space="preserve">维持/降重</x:t>
  </x:si>
  <x:si>
    <x:t xml:space="preserve">P-INC-03</x:t>
  </x:si>
  <x:si>
    <x:t xml:space="preserve">加重</x:t>
  </x:si>
  <x:si>
    <x:t xml:space="preserve">最多2组标准力竭</x:t>
  </x:si>
  <x:si>
    <x:t xml:space="preserve">允许</x:t>
  </x:si>
  <x:si>
    <x:t xml:space="preserve">后两组仍标准</x:t>
  </x:si>
  <x:si>
    <x:t xml:space="preserve">延长休息+加一点重量</x:t>
  </x:si>
  <x:si>
    <x:t xml:space="preserve">不加重</x:t>
  </x:si>
  <x:si>
    <x:t xml:space="preserve">form/rest/weight</x:t>
  </x:si>
  <x:si>
    <x:t xml:space="preserve">P-TRI-01</x:t>
  </x:si>
  <x:si>
    <x:t xml:space="preserve">3x15+1x12</x:t>
  </x:si>
  <x:si>
    <x:t xml:space="preserve">reps/RPE</x:t>
  </x:si>
  <x:si>
    <x:t xml:space="preserve">P-TRI-02</x:t>
  </x:si>
  <x:si>
    <x:t xml:space="preserve">次数递进</x:t>
  </x:si>
  <x:si>
    <x:t xml:space="preserve">逐步增加12次组</x:t>
  </x:si>
  <x:si>
    <x:t xml:space="preserve">直到4x12</x:t>
  </x:si>
  <x:si>
    <x:t xml:space="preserve">P-TRI-03</x:t>
  </x:si>
  <x:si>
    <x:t xml:space="preserve">强度递进</x:t>
  </x:si>
  <x:si>
    <x:t xml:space="preserve">前部RPE8</x:t>
  </x:si>
  <x:si>
    <x:t xml:space="preserve">完成且稳定</x:t>
  </x:si>
  <x:si>
    <x:t xml:space="preserve">最后2组力竭</x:t>
  </x:si>
  <x:si>
    <x:t xml:space="preserve">failure/form</x:t>
  </x:si>
  <x:si>
    <x:t xml:space="preserve">P-TRI-04</x:t>
  </x:si>
  <x:si>
    <x:t xml:space="preserve">末2组力竭</x:t>
  </x:si>
  <x:si>
    <x:t xml:space="preserve">稳定完成</x:t>
  </x:si>
  <x:si>
    <x:t xml:space="preserve">加一点重量</x:t>
  </x:si>
  <x:si>
    <x:t xml:space="preserve">weight/form</x:t>
  </x:si>
  <x:si>
    <x:t xml:space="preserve">P-LAT-01</x:t>
  </x:si>
  <x:si>
    <x:t xml:space="preserve">背阔张力+代偿可控</x:t>
  </x:si>
  <x:si>
    <x:t xml:space="preserve">增加1个10+5</x:t>
  </x:si>
  <x:si>
    <x:t xml:space="preserve">feel/form/reps</x:t>
  </x:si>
  <x:si>
    <x:t xml:space="preserve">P-LAT-02</x:t>
  </x:si>
  <x:si>
    <x:t xml:space="preserve">2个10+5</x:t>
  </x:si>
  <x:si>
    <x:t xml:space="preserve">力竭结构</x:t>
  </x:si>
  <x:si>
    <x:t xml:space="preserve">质量仍好</x:t>
  </x:si>
  <x:si>
    <x:t xml:space="preserve">适当加重量</x:t>
  </x:si>
  <x:si>
    <x:t xml:space="preserve">weight/form/feel</x:t>
  </x:si>
  <x:si>
    <x:t xml:space="preserve">P-ROW-01</x:t>
  </x:si>
  <x:si>
    <x:t xml:space="preserve">周1</x:t>
  </x:si>
  <x:si>
    <x:t xml:space="preserve">末力竭</x:t>
  </x:si>
  <x:si>
    <x:t xml:space="preserve">周2增加10+5组</x:t>
  </x:si>
  <x:si>
    <x:t xml:space="preserve">reps/form</x:t>
  </x:si>
  <x:si>
    <x:t xml:space="preserve">P-ROW-02</x:t>
  </x:si>
  <x:si>
    <x:t xml:space="preserve">周2</x:t>
  </x:si>
  <x:si>
    <x:t xml:space="preserve">力竭结构增加</x:t>
  </x:si>
  <x:si>
    <x:t xml:space="preserve">周3再增加</x:t>
  </x:si>
  <x:si>
    <x:t xml:space="preserve">P-ROW-03</x:t>
  </x:si>
  <x:si>
    <x:t xml:space="preserve">周3后</x:t>
  </x:si>
  <x:si>
    <x:t xml:space="preserve">更多10+5</x:t>
  </x:si>
  <x:si>
    <x:t xml:space="preserve">高局部强度</x:t>
  </x:si>
  <x:si>
    <x:t xml:space="preserve">减至2组+加重+10次不力竭，再循环</x:t>
  </x:si>
  <x:si>
    <x:t xml:space="preserve">恢复/维持</x:t>
  </x:si>
  <x:si>
    <x:t xml:space="preserve">sets/weight/RPE/form</x:t>
  </x:si>
  <x:si>
    <x:t xml:space="preserve">P-CYCLE-01</x:t>
  </x:si>
  <x:si>
    <x:t xml:space="preserve">全计划</x:t>
  </x:si>
  <x:si>
    <x:t xml:space="preserve">约1个月</x:t>
  </x:si>
  <x:si>
    <x:t xml:space="preserve">当前组合</x:t>
  </x:si>
  <x:si>
    <x:t xml:space="preserve">各动作规则</x:t>
  </x:si>
  <x:si>
    <x:t xml:space="preserve">累积疲劳/重量后别扭/刺激需求变化</x:t>
  </x:si>
  <x:si>
    <x:t xml:space="preserve">动作微调/容量转移</x:t>
  </x:si>
  <x:si>
    <x:t xml:space="preserve">继续当前月</x:t>
  </x:si>
  <x:si>
    <x:t xml:space="preserve">pain/fatigue/progress</x:t>
  </x:si>
  <x:si>
    <x:t xml:space="preserve">替换细则仍需确认</x:t>
  </x:si>
  <x:si>
    <x:t xml:space="preserve">单次训练逐组 Tracking 模板</x:t>
  </x:si>
  <x:si>
    <x:t xml:space="preserve">日期</x:t>
  </x:si>
  <x:si>
    <x:t xml:space="preserve">循环#</x:t>
  </x:si>
  <x:si>
    <x:t xml:space="preserve">SessionID</x:t>
  </x:si>
  <x:si>
    <x:t xml:space="preserve">动作顺序</x:t>
  </x:si>
  <x:si>
    <x:t xml:space="preserve">Progression阶段</x:t>
  </x:si>
  <x:si>
    <x:t xml:space="preserve">动作角色</x:t>
  </x:si>
  <x:si>
    <x:t xml:space="preserve">组序号</x:t>
  </x:si>
  <x:si>
    <x:t xml:space="preserve">组类型</x:t>
  </x:si>
  <x:si>
    <x:t xml:space="preserve">目标次数</x:t>
  </x:si>
  <x:si>
    <x:t xml:space="preserve">目标RPE</x:t>
  </x:si>
  <x:si>
    <x:t xml:space="preserve">目标RIR</x:t>
  </x:si>
  <x:si>
    <x:t xml:space="preserve">目标力竭</x:t>
  </x:si>
  <x:si>
    <x:t xml:space="preserve">建议重量kg</x:t>
  </x:si>
  <x:si>
    <x:t xml:space="preserve">实际重量kg</x:t>
  </x:si>
  <x:si>
    <x:t xml:space="preserve">实际次数</x:t>
  </x:si>
  <x:si>
    <x:t xml:space="preserve">实际力竭</x:t>
  </x:si>
  <x:si>
    <x:t xml:space="preserve">组间歇秒</x:t>
  </x:si>
  <x:si>
    <x:t xml:space="preserve">目标肌感受</x:t>
  </x:si>
  <x:si>
    <x:t xml:space="preserve">疼痛0-10</x:t>
  </x:si>
  <x:si>
    <x:t xml:space="preserve">周 / 循环复盘模板</x:t>
  </x:si>
  <x:si>
    <x:t xml:space="preserve">从“记了多少”升级到“是否按方法进步”：主项阶段、动作质量、恢复、微调。</x:t>
  </x:si>
  <x:si>
    <x:t xml:space="preserve">周期开始</x:t>
  </x:si>
  <x:si>
    <x:t xml:space="preserve">周期结束</x:t>
  </x:si>
  <x:si>
    <x:t xml:space="preserve">完成Session数</x:t>
  </x:si>
  <x:si>
    <x:t xml:space="preserve">Push次数</x:t>
  </x:si>
  <x:si>
    <x:t xml:space="preserve">Pull次数</x:t>
  </x:si>
  <x:si>
    <x:t xml:space="preserve">休息日数</x:t>
  </x:si>
  <x:si>
    <x:t xml:space="preserve">主项阶段</x:t>
  </x:si>
  <x:si>
    <x:t xml:space="preserve">卧推最佳标准工作组</x:t>
  </x:si>
  <x:si>
    <x:t xml:space="preserve">主项RPE守住?</x:t>
  </x:si>
  <x:si>
    <x:t xml:space="preserve">动作质量趋势</x:t>
  </x:si>
  <x:si>
    <x:t xml:space="preserve">疼痛趋势</x:t>
  </x:si>
  <x:si>
    <x:t xml:space="preserve">恢复趋势</x:t>
  </x:si>
  <x:si>
    <x:t xml:space="preserve">进入下一阶段?</x:t>
  </x:si>
  <x:si>
    <x:t xml:space="preserve">需要动作微调?</x:t>
  </x:si>
  <x:si>
    <x:t xml:space="preserve">复盘备注</x:t>
  </x:si>
</x:sst>
</file>

<file path=xl/styles.xml><?xml version="1.0" encoding="utf-8"?>
<x:styleSheet xmlns:x="http://schemas.openxmlformats.org/spreadsheetml/2006/main">
  <x:numFmts count="1">
    <x:numFmt numFmtId="176" formatCode="0.0%"/>
  </x:numFmts>
  <x:fonts count="1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F2937"/>
      <x:name val="Carlito"/>
    </x:font>
    <x:font>
      <x:b/>
      <x:sz val="11"/>
      <x:color rgb="FFFFFFFF"/>
      <x:name val="Carlito"/>
    </x:font>
    <x:font>
      <x:sz val="10"/>
      <x:color rgb="FF1F2937"/>
      <x:name val="Carlito"/>
    </x:font>
    <x:font>
      <x:b/>
      <x:sz val="14"/>
      <x:color rgb="FFFFFFFF"/>
      <x:name val="Carlito"/>
    </x:font>
    <x:font>
      <x:sz val="9"/>
      <x:name val="DengXian"/>
    </x:font>
    <x:font>
      <x:b/>
      <x:sz val="15"/>
      <x:color rgb="FFFFFFFF"/>
      <x:name val="Carlito"/>
    </x:font>
    <x:font>
      <x:i/>
      <x:sz val="11"/>
      <x:name val="Carlito"/>
    </x:font>
    <x:font>
      <x:b/>
      <x:sz val="10"/>
      <x:color rgb="FFFFFFFF"/>
      <x:name val="Carlito"/>
    </x:font>
    <x:font>
      <x:b/>
      <x:sz val="16"/>
      <x:color rgb="FF1F2937"/>
      <x:name val="Carlito"/>
    </x:font>
    <x:font>
      <x:b/>
      <x:sz val="11"/>
      <x:color rgb="FF1F2937"/>
      <x:name val="Carlito"/>
    </x:font>
    <x:font>
      <x:b/>
      <x:sz val="14"/>
      <x:color rgb="FF1F2937"/>
      <x:name val="Carlito"/>
    </x:font>
    <x:font>
      <x:b/>
      <x:i/>
      <x:sz val="11"/>
      <x:color rgb="FF1F2937"/>
      <x:name val="Carlito"/>
    </x:font>
  </x:fonts>
  <x:fills count="1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CEAF7"/>
      </x:patternFill>
    </x:fill>
    <x:fill>
      <x:patternFill patternType="solid">
        <x:fgColor rgb="FFF5F7FA"/>
      </x:patternFill>
    </x:fill>
    <x:fill>
      <x:patternFill patternType="solid">
        <x:fgColor rgb="FFFFF3CD"/>
      </x:patternFill>
    </x:fill>
    <x:fill>
      <x:patternFill patternType="solid">
        <x:fgColor rgb="FFFFF3CD"/>
      </x:patternFill>
    </x:fill>
    <x:fill>
      <x:patternFill patternType="solid">
        <x:fgColor rgb="FFD99A00"/>
      </x:patternFill>
    </x:fill>
    <x:fill>
      <x:patternFill patternType="solid">
        <x:fgColor rgb="FF17324D"/>
      </x:patternFill>
    </x:fill>
    <x:fill>
      <x:patternFill patternType="solid">
        <x:fgColor rgb="FF17324D"/>
      </x:patternFill>
    </x:fill>
    <x:fill>
      <x:patternFill patternType="solid">
        <x:fgColor rgb="FFDCEAF7"/>
      </x:patternFill>
    </x:fill>
    <x:fill>
      <x:patternFill patternType="solid">
        <x:fgColor rgb="FFF6F8FA"/>
      </x:patternFill>
    </x:fill>
    <x:fill>
      <x:patternFill patternType="solid">
        <x:fgColor rgb="FFE7E6E6"/>
      </x:patternFill>
    </x:fill>
    <x:fill>
      <x:patternFill patternType="solid">
        <x:fgColor rgb="FFE7E6E6"/>
      </x:patternFill>
    </x:fill>
    <x:fill>
      <x:patternFill patternType="solid">
        <x:fgColor rgb="FF17324D"/>
      </x:patternFill>
    </x:fill>
    <x:fill>
      <x:patternFill patternType="solid">
        <x:fgColor rgb="FFDCEAF7"/>
      </x:patternFill>
    </x:fill>
  </x:fills>
  <x:borders count="2">
    <x:border/>
    <x:border/>
  </x:borders>
  <x:cellStyleXfs count="1">
    <x:xf numFmtId="0" fontId="0" fillId="0" borderId="0"/>
  </x:cellStyleXfs>
  <x:cellXfs count="131">
    <x:xf numFmtId="0" fontId="0" fillId="0" borderId="0" xfId="0"/>
    <x:xf numFmtId="0" fontId="3" fillId="2" borderId="0" xfId="0" applyFont="1" applyFill="1" applyAlignment="1">
      <x:alignment horizontal="center" vertical="center" wrapText="1"/>
    </x:xf>
    <x:xf numFmtId="0" fontId="4" fillId="0" borderId="0" xfId="0" applyFont="1" applyAlignment="1">
      <x:alignment vertical="top" wrapText="1"/>
    </x:xf>
    <x:xf numFmtId="0" fontId="4" fillId="4" borderId="0" xfId="0" applyFont="1" applyFill="1" applyAlignment="1">
      <x:alignment vertical="top" wrapText="1"/>
    </x:xf>
    <x:xf numFmtId="0" fontId="4" fillId="5" borderId="0" xfId="0" applyFont="1" applyFill="1" applyAlignment="1">
      <x:alignment vertical="top" wrapText="1"/>
    </x:xf>
    <x:xf numFmtId="176" fontId="4" fillId="5" borderId="0" xfId="0" applyNumberFormat="1" applyFont="1" applyFill="1" applyAlignment="1">
      <x:alignment vertical="top" wrapText="1"/>
    </x:xf>
    <x:xf numFmtId="0" fontId="4" fillId="3" borderId="0" xfId="0" applyFont="1" applyFill="1" applyAlignment="1">
      <x:alignment vertical="top" wrapText="1"/>
    </x:xf>
    <x:xf numFmtId="0" fontId="4" fillId="6" borderId="0" xfId="0" applyFont="1" applyFill="1" applyAlignment="1">
      <x:alignment vertical="top" wrapText="1"/>
    </x:xf>
    <x:xf numFmtId="0" fontId="3" fillId="7" borderId="0" xfId="0" applyFont="1" applyFill="1" applyAlignment="1">
      <x:alignment horizontal="center" vertical="center" wrapText="1"/>
    </x:xf>
    <x:xf numFmtId="0" fontId="3" fillId="8" borderId="0" xfId="0" applyFont="1" applyFill="1" applyAlignment="1">
      <x:alignment wrapText="1"/>
    </x:xf>
    <x:xf numFmtId="0" fontId="0" fillId="0" borderId="0" xfId="0" applyAlignment="1">
      <x:alignment vertical="top" wrapText="1"/>
    </x:xf>
    <x:xf numFmtId="0" fontId="1" fillId="2" borderId="0" xfId="0" applyFont="1" applyFill="1"/>
    <x:xf numFmtId="0" fontId="0" fillId="0" borderId="0" xfId="0"/>
    <x:xf numFmtId="0" fontId="2" fillId="3" borderId="0" xfId="0" applyFont="1" applyFill="1" applyAlignment="1">
      <x:alignment wrapText="1"/>
    </x:xf>
    <x:xf numFmtId="0" fontId="5" fillId="8" borderId="0" xfId="0" applyFont="1" applyFill="1" applyAlignment="1">
      <x:alignment wrapText="1"/>
    </x:xf>
    <x:xf numFmtId="0" fontId="0" fillId="0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176" fontId="4" fillId="5" borderId="1" xfId="0" applyNumberFormat="1" applyFont="1" applyFill="1" applyBorder="1" applyAlignment="1">
      <x:alignment vertical="top" wrapText="1"/>
    </x:xf>
    <x:xf numFmtId="0" fontId="4" fillId="3" borderId="1" xfId="0" applyNumberFormat="1" applyFont="1" applyFill="1" applyBorder="1" applyAlignment="1">
      <x:alignment vertical="top" wrapText="1"/>
    </x:xf>
    <x:xf numFmtId="0" fontId="3" fillId="7" borderId="1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wrapText="1"/>
    </x:xf>
    <x:xf numFmtId="0" fontId="1" fillId="9" borderId="0" xfId="0" applyNumberFormat="1" applyFont="1" applyFill="1" applyBorder="1"/>
    <x:xf numFmtId="0" fontId="0" fillId="9" borderId="0" xfId="0" applyNumberFormat="1" applyFont="1" applyFill="1" applyBorder="1"/>
    <x:xf numFmtId="0" fontId="7" fillId="9" borderId="0" xfId="0" applyNumberFormat="1" applyFont="1" applyFill="1" applyBorder="1"/>
    <x:xf numFmtId="0" fontId="1" fillId="9" borderId="1" xfId="0" applyNumberFormat="1" applyFont="1" applyFill="1" applyBorder="1"/>
    <x:xf numFmtId="0" fontId="0" fillId="9" borderId="1" xfId="0" applyNumberFormat="1" applyFont="1" applyFill="1" applyBorder="1"/>
    <x:xf numFmtId="0" fontId="7" fillId="9" borderId="1" xfId="0" applyNumberFormat="1" applyFont="1" applyFill="1" applyBorder="1"/>
    <x:xf numFmtId="0" fontId="2" fillId="10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8" fillId="10" borderId="0" xfId="0" applyNumberFormat="1" applyFont="1" applyFill="1" applyBorder="1"/>
    <x:xf numFmtId="0" fontId="8" fillId="10" borderId="0" xfId="0" applyNumberFormat="1" applyFont="1" applyFill="1" applyBorder="1" applyAlignment="1">
      <x:alignment wrapText="1"/>
    </x:xf>
    <x:xf numFmtId="0" fontId="2" fillId="10" borderId="1" xfId="0" applyNumberFormat="1" applyFont="1" applyFill="1" applyBorder="1" applyAlignment="1">
      <x:alignment wrapText="1"/>
    </x:xf>
    <x:xf numFmtId="0" fontId="0" fillId="10" borderId="1" xfId="0" applyNumberFormat="1" applyFont="1" applyFill="1" applyBorder="1"/>
    <x:xf numFmtId="0" fontId="8" fillId="10" borderId="1" xfId="0" applyNumberFormat="1" applyFont="1" applyFill="1" applyBorder="1"/>
    <x:xf numFmtId="0" fontId="8" fillId="1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vertical="top" wrapText="1"/>
    </x:xf>
    <x:xf numFmtId="0" fontId="3" fillId="9" borderId="0" xfId="0" applyNumberFormat="1" applyFont="1" applyFill="1" applyBorder="1" applyAlignment="1">
      <x:alignment horizontal="center" vertical="center" wrapText="1"/>
    </x:xf>
    <x:xf numFmtId="0" fontId="4" fillId="9" borderId="0" xfId="0" applyNumberFormat="1" applyFont="1" applyFill="1" applyBorder="1" applyAlignment="1">
      <x:alignment vertical="top" wrapText="1"/>
    </x:xf>
    <x:xf numFmtId="0" fontId="9" fillId="9" borderId="0" xfId="0" applyNumberFormat="1" applyFont="1" applyFill="1" applyBorder="1" applyAlignment="1">
      <x:alignment vertical="top" wrapText="1"/>
    </x:xf>
    <x:xf numFmtId="0" fontId="3" fillId="9" borderId="1" xfId="0" applyNumberFormat="1" applyFont="1" applyFill="1" applyBorder="1" applyAlignment="1">
      <x:alignment horizontal="center" vertical="center" wrapText="1"/>
    </x:xf>
    <x:xf numFmtId="0" fontId="4" fillId="9" borderId="1" xfId="0" applyNumberFormat="1" applyFont="1" applyFill="1" applyBorder="1" applyAlignment="1">
      <x:alignment vertical="top" wrapText="1"/>
    </x:xf>
    <x:xf numFmtId="0" fontId="9" fillId="9" borderId="1" xfId="0" applyNumberFormat="1" applyFont="1" applyFill="1" applyBorder="1" applyAlignment="1">
      <x:alignment vertical="top" wrapText="1"/>
    </x:xf>
    <x:xf numFmtId="0" fontId="3" fillId="11" borderId="0" xfId="0" applyNumberFormat="1" applyFont="1" applyFill="1" applyBorder="1" applyAlignment="1">
      <x:alignment horizontal="center" vertical="center" wrapText="1"/>
    </x:xf>
    <x:xf numFmtId="0" fontId="4" fillId="11" borderId="0" xfId="0" applyNumberFormat="1" applyFont="1" applyFill="1" applyBorder="1" applyAlignment="1">
      <x:alignment vertical="top" wrapText="1"/>
    </x:xf>
    <x:xf numFmtId="0" fontId="3" fillId="11" borderId="1" xfId="0" applyNumberFormat="1" applyFont="1" applyFill="1" applyBorder="1" applyAlignment="1">
      <x:alignment horizontal="center" vertical="center" wrapText="1"/>
    </x:xf>
    <x:xf numFmtId="0" fontId="4" fillId="11" borderId="1" xfId="0" applyNumberFormat="1" applyFont="1" applyFill="1" applyBorder="1" applyAlignment="1">
      <x:alignment vertical="top" wrapText="1"/>
    </x:xf>
    <x:xf numFmtId="0" fontId="3" fillId="9" borderId="0" xfId="0" applyNumberFormat="1" applyFont="1" applyFill="1" applyBorder="1"/>
    <x:xf numFmtId="0" fontId="3" fillId="9" borderId="1" xfId="0" applyNumberFormat="1" applyFont="1" applyFill="1" applyBorder="1"/>
    <x:xf numFmtId="0" fontId="3" fillId="9" borderId="0" xfId="0" applyNumberFormat="1" applyFont="1" applyFill="1" applyBorder="1" applyAlignment="1">
      <x:alignment wrapText="1"/>
    </x:xf>
    <x:xf numFmtId="0" fontId="3" fillId="9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12" borderId="0" xfId="0" applyNumberFormat="1" applyFont="1" applyFill="1" applyBorder="1"/>
    <x:xf numFmtId="0" fontId="0" fillId="12" borderId="0" xfId="0" applyNumberFormat="1" applyFont="1" applyFill="1" applyBorder="1"/>
    <x:xf numFmtId="0" fontId="5" fillId="12" borderId="0" xfId="0" applyNumberFormat="1" applyFont="1" applyFill="1" applyBorder="1" applyAlignment="1">
      <x:alignment wrapText="1"/>
    </x:xf>
    <x:xf numFmtId="0" fontId="2" fillId="12" borderId="0" xfId="0" applyNumberFormat="1" applyFont="1" applyFill="1" applyBorder="1" applyAlignment="1">
      <x:alignment wrapText="1"/>
    </x:xf>
    <x:xf numFmtId="0" fontId="10" fillId="12" borderId="0" xfId="0" applyNumberFormat="1" applyFont="1" applyFill="1" applyBorder="1"/>
    <x:xf numFmtId="0" fontId="11" fillId="12" borderId="0" xfId="0" applyNumberFormat="1" applyFont="1" applyFill="1" applyBorder="1"/>
    <x:xf numFmtId="0" fontId="12" fillId="12" borderId="0" xfId="0" applyNumberFormat="1" applyFont="1" applyFill="1" applyBorder="1" applyAlignment="1">
      <x:alignment wrapText="1"/>
    </x:xf>
    <x:xf numFmtId="0" fontId="13" fillId="12" borderId="0" xfId="0" applyNumberFormat="1" applyFont="1" applyFill="1" applyBorder="1" applyAlignment="1">
      <x:alignment wrapText="1"/>
    </x:xf>
    <x:xf numFmtId="0" fontId="10" fillId="12" borderId="0" xfId="0" applyNumberFormat="1" applyFont="1" applyFill="1" applyBorder="1" applyAlignment="1">
      <x:alignment wrapText="1"/>
    </x:xf>
    <x:xf numFmtId="0" fontId="11" fillId="12" borderId="0" xfId="0" applyNumberFormat="1" applyFont="1" applyFill="1" applyBorder="1" applyAlignment="1">
      <x:alignment wrapText="1"/>
    </x:xf>
    <x:xf numFmtId="0" fontId="1" fillId="12" borderId="1" xfId="0" applyNumberFormat="1" applyFont="1" applyFill="1" applyBorder="1"/>
    <x:xf numFmtId="0" fontId="0" fillId="12" borderId="1" xfId="0" applyNumberFormat="1" applyFont="1" applyFill="1" applyBorder="1"/>
    <x:xf numFmtId="0" fontId="5" fillId="12" borderId="1" xfId="0" applyNumberFormat="1" applyFont="1" applyFill="1" applyBorder="1" applyAlignment="1">
      <x:alignment wrapText="1"/>
    </x:xf>
    <x:xf numFmtId="0" fontId="2" fillId="12" borderId="1" xfId="0" applyNumberFormat="1" applyFont="1" applyFill="1" applyBorder="1" applyAlignment="1">
      <x:alignment wrapText="1"/>
    </x:xf>
    <x:xf numFmtId="0" fontId="10" fillId="12" borderId="1" xfId="0" applyNumberFormat="1" applyFont="1" applyFill="1" applyBorder="1"/>
    <x:xf numFmtId="0" fontId="11" fillId="12" borderId="1" xfId="0" applyNumberFormat="1" applyFont="1" applyFill="1" applyBorder="1"/>
    <x:xf numFmtId="0" fontId="12" fillId="12" borderId="1" xfId="0" applyNumberFormat="1" applyFont="1" applyFill="1" applyBorder="1" applyAlignment="1">
      <x:alignment wrapText="1"/>
    </x:xf>
    <x:xf numFmtId="0" fontId="13" fillId="12" borderId="1" xfId="0" applyNumberFormat="1" applyFont="1" applyFill="1" applyBorder="1" applyAlignment="1">
      <x:alignment wrapText="1"/>
    </x:xf>
    <x:xf numFmtId="0" fontId="10" fillId="12" borderId="1" xfId="0" applyNumberFormat="1" applyFont="1" applyFill="1" applyBorder="1" applyAlignment="1">
      <x:alignment wrapText="1"/>
    </x:xf>
    <x:xf numFmtId="0" fontId="11" fillId="12" borderId="1" xfId="0" applyNumberFormat="1" applyFont="1" applyFill="1" applyBorder="1" applyAlignment="1">
      <x:alignment wrapText="1"/>
    </x:xf>
    <x:xf numFmtId="0" fontId="5" fillId="9" borderId="0" xfId="0" applyNumberFormat="1" applyFont="1" applyFill="1" applyBorder="1"/>
    <x:xf numFmtId="0" fontId="5" fillId="9" borderId="0" xfId="0" applyNumberFormat="1" applyFont="1" applyFill="1" applyBorder="1" applyAlignment="1">
      <x:alignment vertical="center"/>
    </x:xf>
    <x:xf numFmtId="0" fontId="5" fillId="9" borderId="1" xfId="0" applyNumberFormat="1" applyFont="1" applyFill="1" applyBorder="1"/>
    <x:xf numFmtId="0" fontId="5" fillId="9" borderId="1" xfId="0" applyNumberFormat="1" applyFont="1" applyFill="1" applyBorder="1" applyAlignment="1">
      <x:alignment vertical="center"/>
    </x:xf>
    <x:xf numFmtId="0" fontId="2" fillId="10" borderId="0" xfId="0" applyNumberFormat="1" applyFont="1" applyFill="1" applyBorder="1"/>
    <x:xf numFmtId="0" fontId="2" fillId="10" borderId="1" xfId="0" applyNumberFormat="1" applyFont="1" applyFill="1" applyBorder="1"/>
    <x:xf numFmtId="0" fontId="3" fillId="9" borderId="0" xfId="0" applyNumberFormat="1" applyFont="1" applyFill="1" applyBorder="1" applyAlignment="1">
      <x:alignment horizontal="center" wrapText="1"/>
    </x:xf>
    <x:xf numFmtId="0" fontId="3" fillId="9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11" fillId="11" borderId="0" xfId="0" applyNumberFormat="1" applyFont="1" applyFill="1" applyBorder="1" applyAlignment="1">
      <x:alignment horizontal="center" vertical="center" wrapText="1"/>
    </x:xf>
    <x:xf numFmtId="0" fontId="11" fillId="11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4" fillId="4" borderId="0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176" fontId="4" fillId="5" borderId="0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3" fillId="7" borderId="0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7" fillId="2" borderId="0" xfId="0" applyNumberFormat="1" applyFont="1" applyFill="1" applyBorder="1"/>
    <x:xf numFmtId="0" fontId="0" fillId="3" borderId="0" xfId="0" applyNumberFormat="1" applyFont="1" applyFill="1" applyBorder="1"/>
    <x:xf numFmtId="0" fontId="8" fillId="3" borderId="0" xfId="0" applyNumberFormat="1" applyFont="1" applyFill="1" applyBorder="1"/>
    <x:xf numFmtId="0" fontId="8" fillId="3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vertical="top" wrapText="1"/>
    </x:xf>
    <x:xf numFmtId="0" fontId="9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 wrapText="1"/>
    </x:xf>
    <x:xf numFmtId="0" fontId="10" fillId="13" borderId="0" xfId="0" applyNumberFormat="1" applyFont="1" applyFill="1" applyBorder="1" applyAlignment="1">
      <x:alignment wrapText="1"/>
    </x:xf>
    <x:xf numFmtId="0" fontId="11" fillId="13" borderId="0" xfId="0" applyNumberFormat="1" applyFont="1" applyFill="1" applyBorder="1" applyAlignment="1">
      <x:alignment wrapText="1"/>
    </x:xf>
    <x:xf numFmtId="0" fontId="12" fillId="13" borderId="0" xfId="0" applyNumberFormat="1" applyFont="1" applyFill="1" applyBorder="1" applyAlignment="1">
      <x:alignment wrapText="1"/>
    </x:xf>
    <x:xf numFmtId="0" fontId="13" fillId="13" borderId="0" xfId="0" applyNumberFormat="1" applyFont="1" applyFill="1" applyBorder="1" applyAlignment="1">
      <x:alignment wrapText="1"/>
    </x:xf>
    <x:xf numFmtId="0" fontId="3" fillId="14" borderId="0" xfId="0" applyNumberFormat="1" applyFont="1" applyFill="1" applyBorder="1" applyAlignment="1">
      <x:alignment horizontal="center" vertical="center" wrapText="1"/>
    </x:xf>
    <x:xf numFmtId="0" fontId="0" fillId="14" borderId="0" xfId="0" applyNumberFormat="1" applyFont="1" applyFill="1" applyBorder="1"/>
    <x:xf numFmtId="0" fontId="0" fillId="14" borderId="0" xfId="0" applyNumberFormat="1" applyFont="1" applyFill="1" applyBorder="1" applyAlignment="1">
      <x:alignment vertical="top" wrapText="1"/>
    </x:xf>
    <x:xf numFmtId="0" fontId="3" fillId="14" borderId="0" xfId="0" applyNumberFormat="1" applyFont="1" applyFill="1" applyBorder="1"/>
    <x:xf numFmtId="0" fontId="3" fillId="14" borderId="0" xfId="0" applyNumberFormat="1" applyFont="1" applyFill="1" applyBorder="1" applyAlignment="1">
      <x:alignment vertical="top" wrapText="1"/>
    </x:xf>
    <x:xf numFmtId="0" fontId="3" fillId="14" borderId="0" xfId="0" applyNumberFormat="1" applyFont="1" applyFill="1" applyBorder="1" applyAlignment="1">
      <x:alignment wrapText="1"/>
    </x:xf>
    <x:xf numFmtId="0" fontId="1" fillId="14" borderId="0" xfId="0" applyNumberFormat="1" applyFont="1" applyFill="1" applyBorder="1"/>
    <x:xf numFmtId="0" fontId="5" fillId="14" borderId="0" xfId="0" applyNumberFormat="1" applyFont="1" applyFill="1" applyBorder="1"/>
    <x:xf numFmtId="0" fontId="5" fillId="14" borderId="0" xfId="0" applyNumberFormat="1" applyFont="1" applyFill="1" applyBorder="1" applyAlignment="1">
      <x:alignment vertical="center"/>
    </x:xf>
    <x:xf numFmtId="0" fontId="2" fillId="15" borderId="0" xfId="0" applyNumberFormat="1" applyFont="1" applyFill="1" applyBorder="1" applyAlignment="1">
      <x:alignment wrapText="1"/>
    </x:xf>
    <x:xf numFmtId="0" fontId="8" fillId="15" borderId="0" xfId="0" applyNumberFormat="1" applyFont="1" applyFill="1" applyBorder="1" applyAlignment="1">
      <x:alignment wrapText="1"/>
    </x:xf>
    <x:xf numFmtId="0" fontId="0" fillId="15" borderId="0" xfId="0" applyNumberFormat="1" applyFont="1" applyFill="1" applyBorder="1"/>
    <x:xf numFmtId="0" fontId="2" fillId="15" borderId="0" xfId="0" applyNumberFormat="1" applyFont="1" applyFill="1" applyBorder="1"/>
    <x:xf numFmtId="0" fontId="3" fillId="14" borderId="0" xfId="0" applyNumberFormat="1" applyFont="1" applyFill="1" applyBorder="1" applyAlignment="1">
      <x:alignment horizontal="center" wrapText="1"/>
    </x:xf>
  </x:cellXfs>
  <x:cellStyles count="1">
    <x:cellStyle name="Normal" xfId="0"/>
  </x:cellStyles>
  <x:dxfs count="20">
    <x:dxf>
      <x:fill>
        <x:patternFill>
          <x:bgColor rgb="FFFFF3CD"/>
        </x:patternFill>
      </x:fill>
    </x:dxf>
    <x:dxf>
      <x:font>
        <x:b/>
      </x:font>
      <x:fill>
        <x:patternFill>
          <x:bgColor rgb="FFFBE4E6"/>
        </x:patternFill>
      </x:fill>
    </x:dxf>
    <x:dxf>
      <x:fill>
        <x:patternFill>
          <x:bgColor rgb="FFE4F3E8"/>
        </x:patternFill>
      </x:fill>
    </x:dxf>
    <x:dxf>
      <x:fill>
        <x:patternFill>
          <x:bgColor rgb="FFFBE4E6"/>
        </x:patternFill>
      </x:fill>
    </x:dxf>
    <x:dxf>
      <x:fill>
        <x:patternFill>
          <x:bgColor rgb="FFFFF3CD"/>
        </x:patternFill>
      </x:fill>
    </x:dxf>
    <x:dxf>
      <x:font>
        <x:b/>
      </x:font>
      <x:fill>
        <x:patternFill>
          <x:bgColor rgb="FFFBE4E6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7E6E6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7E6E6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7E6E6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24ee48b8674d15" /><Relationship Type="http://schemas.openxmlformats.org/officeDocument/2006/relationships/theme" Target="/xl/theme/theme1.xml" Id="R6afa445855454a0d" /><Relationship Type="http://schemas.openxmlformats.org/officeDocument/2006/relationships/sharedStrings" Target="/xl/sharedStrings.xml" Id="R5c403e1eab854aa4" /><Relationship Type="http://schemas.openxmlformats.org/officeDocument/2006/relationships/worksheet" Target="/xl/worksheets/sheet1.xml" Id="Re5730a3943e94e9b" /><Relationship Type="http://schemas.openxmlformats.org/officeDocument/2006/relationships/worksheet" Target="/xl/worksheets/sheet2.xml" Id="R326af850a4464c62" /><Relationship Type="http://schemas.openxmlformats.org/officeDocument/2006/relationships/worksheet" Target="/xl/worksheets/sheet3.xml" Id="R4aeed1fd141841a3" /><Relationship Type="http://schemas.openxmlformats.org/officeDocument/2006/relationships/worksheet" Target="/xl/worksheets/sheet4.xml" Id="Rbbd9171019fa41a9" /><Relationship Type="http://schemas.openxmlformats.org/officeDocument/2006/relationships/worksheet" Target="/xl/worksheets/sheet5.xml" Id="Ra78c2225df4d45c5" /><Relationship Type="http://schemas.openxmlformats.org/officeDocument/2006/relationships/worksheet" Target="/xl/worksheets/sheet6.xml" Id="Rac45871a434a4205" /><Relationship Type="http://schemas.openxmlformats.org/officeDocument/2006/relationships/worksheet" Target="/xl/worksheets/sheet7.xml" Id="Re94a2ca65e484e7c" /><Relationship Type="http://schemas.openxmlformats.org/officeDocument/2006/relationships/worksheet" Target="/xl/worksheets/sheet8.xml" Id="Rc484eb71ab644b2a" /><Relationship Type="http://schemas.openxmlformats.org/officeDocument/2006/relationships/worksheet" Target="/xl/worksheets/sheet9.xml" Id="R170a54e5a88c4901" /><Relationship Type="http://schemas.openxmlformats.org/officeDocument/2006/relationships/worksheet" Target="/xl/worksheets/sheet10.xml" Id="Rb2dbfc0f12e14165" /><Relationship Type="http://schemas.openxmlformats.org/officeDocument/2006/relationships/worksheet" Target="/xl/worksheets/sheet11.xml" Id="R57dbcaeddd2840ef" /><Relationship Type="http://schemas.openxmlformats.org/officeDocument/2006/relationships/worksheet" Target="/xl/worksheets/sheet12.xml" Id="R5adbd9fc755e496b" /><Relationship Type="http://schemas.openxmlformats.org/officeDocument/2006/relationships/worksheet" Target="/xl/worksheets/sheet13.xml" Id="R8e520bc92f1f488c" /><Relationship Type="http://schemas.openxmlformats.org/officeDocument/2006/relationships/worksheet" Target="/xl/worksheets/sheet14.xml" Id="Reb4b111e7b8f4c1c" /><Relationship Type="http://schemas.openxmlformats.org/officeDocument/2006/relationships/worksheet" Target="/xl/worksheets/sheet15.xml" Id="R410e9e11e0dd44e1" /><Relationship Type="http://schemas.openxmlformats.org/officeDocument/2006/relationships/worksheet" Target="/xl/worksheets/sheet16.xml" Id="R50aa77e889604a5a" /><Relationship Type="http://schemas.openxmlformats.org/officeDocument/2006/relationships/worksheet" Target="/xl/worksheets/sheet17.xml" Id="Rea330e01f9464ac8" /><Relationship Type="http://schemas.openxmlformats.org/officeDocument/2006/relationships/worksheet" Target="/xl/worksheets/sheet18.xml" Id="R0fabddf938a846af" /><Relationship Type="http://schemas.openxmlformats.org/officeDocument/2006/relationships/worksheet" Target="/xl/worksheets/sheet19.xml" Id="R4c433d869b404ab2" /></Relationships>
</file>

<file path=xl/tables/table1.xml><?xml version="1.0" encoding="utf-8"?>
<x:table xmlns:x="http://schemas.openxmlformats.org/spreadsheetml/2006/main" id="1" name="WorkbookRegistryTable" displayName="WorkbookRegistryTable" ref="A12:H31" headerRowCount="1" totalsRowCount="0" totalsRowShown="0">
  <x:tableColumns count="8">
    <x:tableColumn id="1" name="Sheet"/>
    <x:tableColumn id="2" name="资产类型"/>
    <x:tableColumn id="3" name="是否可导入"/>
    <x:tableColumn id="4" name="生产用途"/>
    <x:tableColumn id="5" name="谁维护"/>
    <x:tableColumn id="6" name="Importer动作"/>
    <x:tableColumn id="7" name="发布阻塞"/>
    <x:tableColumn id="8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numDictionaryTable" displayName="EnumDictionaryTable" ref="A4:H18" headerRowCount="1" totalsRowCount="0" totalsRowShown="0">
  <x:tableColumns count="8">
    <x:tableColumn id="1" name="业务概念"/>
    <x:tableColumn id="2" name="用户中文"/>
    <x:tableColumn id="3" name="内部Key/值"/>
    <x:tableColumn id="4" name="用户控件"/>
    <x:tableColumn id="5" name="是否用户必见"/>
    <x:tableColumn id="6" name="默认/说明"/>
    <x:tableColumn id="7" name="来源类型"/>
    <x:tableColumn id="8" name="状态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10" name="SourceRegistryTable" displayName="SourceRegistryTable" ref="A4:I18" headerRowCount="1" totalsRowCount="0" totalsRowShown="0">
  <x:tableColumns count="9">
    <x:tableColumn id="1" name="SourceID"/>
    <x:tableColumn id="2" name="来源资产"/>
    <x:tableColumn id="3" name="来源类型"/>
    <x:tableColumn id="4" name="权威角色"/>
    <x:tableColumn id="5" name="进入系统方式"/>
    <x:tableColumn id="6" name="版本/Checksum要求"/>
    <x:tableColumn id="7" name="运行时是否直接读取"/>
    <x:tableColumn id="8" name="主要用途"/>
    <x:tableColumn id="9" name="限制/注意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3" name="CalibrationRulesTable" displayName="CalibrationRulesTable" ref="A4:N13" headerRowCount="1" totalsRowCount="0" totalsRowShown="0">
  <x:tableColumns count="14">
    <x:tableColumn id="1" name="RuleID"/>
    <x:tableColumn id="2" name="适用范围"/>
    <x:tableColumn id="3" name="触发"/>
    <x:tableColumn id="4" name="读取数据"/>
    <x:tableColumn id="5" name="判断条件"/>
    <x:tableColumn id="6" name="系统动作"/>
    <x:tableColumn id="7" name="是否改变方法阶段"/>
    <x:tableColumn id="8" name="下一次影响"/>
    <x:tableColumn id="9" name="规则来源"/>
    <x:tableColumn id="10" name="EvidenceID"/>
    <x:tableColumn id="11" name="状态"/>
    <x:tableColumn id="12" name="可导入"/>
    <x:tableColumn id="13" name="目标表"/>
    <x:tableColumn id="14" name="用户解释示例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4" name="AdaptationScenarioTable" displayName="AdaptationScenarioTable" ref="A4:Q25" headerRowCount="1" totalsRowCount="0" totalsRowShown="0">
  <x:tableColumns count="17">
    <x:tableColumn id="1" name="ScenarioID"/>
    <x:tableColumn id="2" name="场景"/>
    <x:tableColumn id="3" name="触发/检测"/>
    <x:tableColumn id="4" name="用户可补输入"/>
    <x:tableColumn id="5" name="安全优先级"/>
    <x:tableColumn id="6" name="方法原文是否明确"/>
    <x:tableColumn id="7" name="默认适应策略"/>
    <x:tableColumn id="8" name="重量变化"/>
    <x:tableColumn id="9" name="阶段变化"/>
    <x:tableColumn id="10" name="下一训练日"/>
    <x:tableColumn id="11" name="恢复影响"/>
    <x:tableColumn id="12" name="写入数据"/>
    <x:tableColumn id="13" name="用户UI"/>
    <x:tableColumn id="14" name="规则来源"/>
    <x:tableColumn id="15" name="EvidenceID"/>
    <x:tableColumn id="16" name="可导入"/>
    <x:tableColumn id="17" name="状态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5" name="EvidenceIndexTable" displayName="EvidenceIndexTable" ref="A4:L68" headerRowCount="1" totalsRowCount="0" totalsRowShown="0">
  <x:tableColumns count="12">
    <x:tableColumn id="1" name="EvidenceID"/>
    <x:tableColumn id="2" name="关联Rule/Scenario"/>
    <x:tableColumn id="3" name="来源文件"/>
    <x:tableColumn id="4" name="来源类型"/>
    <x:tableColumn id="5" name="定位关键词/段落"/>
    <x:tableColumn id="6" name="证据摘要"/>
    <x:tableColumn id="7" name="明确程度"/>
    <x:tableColumn id="8" name="置信度"/>
    <x:tableColumn id="9" name="建议RAG Topic"/>
    <x:tableColumn id="10" name="是否发布必需"/>
    <x:tableColumn id="11" name="证据状态"/>
    <x:tableColumn id="12" name="备注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6" name="RAGContractTable" displayName="RAGContractTable" ref="A4:J14" headerRowCount="1" totalsRowCount="0" totalsRowShown="0">
  <x:tableColumns count="10">
    <x:tableColumn id="1" name="ChunkType"/>
    <x:tableColumn id="2" name="层级/对象"/>
    <x:tableColumn id="3" name="切片边界"/>
    <x:tableColumn id="4" name="必填Metadata"/>
    <x:tableColumn id="5" name="建议检索过滤"/>
    <x:tableColumn id="6" name="Embedding文本组成"/>
    <x:tableColumn id="7" name="主要消费方"/>
    <x:tableColumn id="8" name="运行时权威"/>
    <x:tableColumn id="9" name="失败/歧义处理"/>
    <x:tableColumn id="10" name="备注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7" name="DBMappingTable" displayName="DBMappingTable" ref="A4:L23" headerRowCount="1" totalsRowCount="0" totalsRowShown="0">
  <x:tableColumns count="12">
    <x:tableColumn id="1" name="Workbook资产"/>
    <x:tableColumn id="2" name="Row/对象"/>
    <x:tableColumn id="3" name="权威类型"/>
    <x:tableColumn id="4" name="目标DB表"/>
    <x:tableColumn id="5" name="主键/关联键"/>
    <x:tableColumn id="6" name="导入字段摘要"/>
    <x:tableColumn id="7" name="Importer动作"/>
    <x:tableColumn id="8" name="运行时读取方"/>
    <x:tableColumn id="9" name="是否用户数据"/>
    <x:tableColumn id="10" name="是否版本化"/>
    <x:tableColumn id="11" name="更新策略"/>
    <x:tableColumn id="12" name="备注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8" name="ImportContractTable" displayName="ImportContractTable" ref="A4:L23" headerRowCount="1" totalsRowCount="0" totalsRowShown="0">
  <x:tableColumns count="12">
    <x:tableColumn id="1" name="Sheet"/>
    <x:tableColumn id="2" name="用途"/>
    <x:tableColumn id="3" name="Runtime Import?"/>
    <x:tableColumn id="4" name="目标表/产物"/>
    <x:tableColumn id="5" name="Required Key"/>
    <x:tableColumn id="6" name="允许导入状态"/>
    <x:tableColumn id="7" name="核心校验"/>
    <x:tableColumn id="8" name="Upsert/生成规则"/>
    <x:tableColumn id="9" name="版本行为"/>
    <x:tableColumn id="10" name="Release Blocker"/>
    <x:tableColumn id="11" name="失败处理"/>
    <x:tableColumn id="12" name="Owner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9" name="OpenQuestionsTable" displayName="OpenQuestionsTable" ref="A4:L16" headerRowCount="1" totalsRowCount="0" totalsRowShown="0">
  <x:tableColumns count="12">
    <x:tableColumn id="1" name="IssueID"/>
    <x:tableColumn id="2" name="范围"/>
    <x:tableColumn id="3" name="问题"/>
    <x:tableColumn id="4" name="当前已知"/>
    <x:tableColumn id="5" name="不能直接定论原因"/>
    <x:tableColumn id="6" name="需要什么证据/决策"/>
    <x:tableColumn id="7" name="解决后回填"/>
    <x:tableColumn id="8" name="优先级"/>
    <x:tableColumn id="9" name="状态"/>
    <x:tableColumn id="10" name="是否阻塞发布"/>
    <x:tableColumn id="11" name="Owner"/>
    <x:tableColumn id="12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a8aba566404493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2.xml" Id="R714f0adc484d447c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3.xml" Id="Rb1d970b0c378409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4.xml" Id="R3acf123fee1c4bde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5.xml" Id="R97fa2bf70a864730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6.xml" Id="R8597e672e2bd497b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7.xml" Id="R2fba1589070f4655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8.xml" Id="R1d37fed51f914111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9.xml" Id="R64685c25377e42f5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0.xml" Id="R5a19ef0e22034e84" /></Relationships>
</file>

<file path=xl/worksheets/sheet1.xml><?xml version="1.0" encoding="utf-8"?>
<x:worksheet xmlns:x="http://schemas.openxmlformats.org/spreadsheetml/2006/main">
  <x:sheetFormatPr defaultRowHeight="14"/>
  <x:cols>
    <x:col min="1" max="1" width="18" hidden="0" customWidth="1"/>
    <x:col min="2" max="3" width="40" customWidth="1"/>
    <x:col min="4" max="4" width="24" hidden="0" customWidth="1"/>
    <x:col min="6" max="6" width="24" hidden="0" customWidth="1"/>
    <x:col min="7" max="8" width="32" customWidth="1"/>
    <x:col min="9" max="10" width="28" customWidth="1"/>
    <x:col min="2" max="2" width="38" hidden="0" customWidth="1"/>
    <x:col min="3" max="3" width="14" hidden="0" customWidth="1"/>
    <x:col min="5" max="5" width="18" hidden="0" customWidth="1"/>
    <x:col min="7" max="7" width="14" hidden="0" customWidth="1"/>
    <x:col min="8" max="8" width="32" hidden="0" customWidth="1"/>
    <x:col min="10" max="10" width="22" hidden="0" customWidth="1"/>
    <x:col min="11" max="11" width="34" hidden="0" customWidth="1"/>
    <x:col min="12" max="12" width="30" hidden="0" customWidth="1"/>
  </x:cols>
  <x:sheetData>
    <x:row r="1" ht="20" customHeight="1">
      <x:c r="A1" s="30" t="str">
        <x:v>Pawside 三分化 Canonical Method Workbook｜治理与使用说明</x:v>
      </x:c>
      <x:c r="B1" s="30"/>
      <x:c r="C1" s="30"/>
      <x:c r="D1" s="30"/>
      <x:c r="E1" s="30"/>
      <x:c r="F1" s="30"/>
      <x:c r="G1" s="30"/>
      <x:c r="H1" s="30"/>
      <x:c r="I1" s="30"/>
      <x:c r="J1" s="30"/>
      <x:c r="K1" s="30"/>
      <x:c r="L1" s="30"/>
    </x:row>
    <x:row r="2" ht="22.649999618530273" customHeight="1">
      <x:c r="A2" s="34" t="str">
        <x:v>本工作簿是“人工审核层 / Canonical editorial layer”。生产 App 不直接读取 Excel；只有经校验、发布的行通过 importer 进入版本化 Method DB。</x:v>
      </x:c>
      <x:c r="B2" s="37"/>
      <x:c r="C2" s="37"/>
      <x:c r="D2" s="37"/>
      <x:c r="E2" s="37"/>
      <x:c r="F2" s="37"/>
      <x:c r="G2" s="37"/>
      <x:c r="H2" s="37"/>
      <x:c r="I2" s="37"/>
      <x:c r="J2" s="37"/>
      <x:c r="K2" s="37"/>
      <x:c r="L2" s="37"/>
    </x:row>
    <x:row r="4">
      <x:c r="A4" s="44" t="str">
        <x:v>权威层级</x:v>
      </x:c>
      <x:c r="B4" s="89" t="str">
        <x:v>L0 原始 Source → L1 RAG Evidence → L2 本 Workbook 人工确认 → L3 Structured Method DB → L4 User Runtime Memory → L5 Adaptive Coaching → L6 AI Explanation</x:v>
      </x:c>
      <x:c r="C4" s="1" t="str"/>
      <x:c r="D4" s="44" t="str">
        <x:v>资产状态</x:v>
      </x:c>
      <x:c r="E4" s="54" t="str">
        <x:v>数量</x:v>
      </x:c>
      <x:c r="F4" s="9" t="str"/>
      <x:c r="G4" s="9" t="str"/>
      <x:c r="H4" s="9" t="str"/>
      <x:c r="I4" s="9" t="str"/>
      <x:c r="J4" s="56" t="str">
        <x:v>Workbook元数据</x:v>
      </x:c>
      <x:c r="K4" s="54" t="str">
        <x:v>值</x:v>
      </x:c>
      <x:c r="L4" t="str"/>
    </x:row>
    <x:row r="5">
      <x:c r="A5" s="46" t="str">
        <x:v>发布原则</x:v>
      </x:c>
      <x:c r="B5" s="51" t="str">
        <x:v>Excel 不是生产运行时配置；修改 Excel 后必须 validation → diff → draft release → tests → activate。历史 release 不覆盖。</x:v>
      </x:c>
      <x:c r="C5" s="2" t="str"/>
      <x:c r="D5" s="2" t="str">
        <x:v>方法总览规则</x:v>
      </x:c>
      <x:c r="E5" t="n">
        <x:f>COUNTA('02_方法论总览'!A5:A200)</x:f>
        <x:v>13</x:v>
      </x:c>
      <x:c r="F5" s="10" t="str"/>
      <x:c r="G5" s="10" t="str"/>
      <x:c r="H5" s="10" t="str"/>
      <x:c r="I5" s="10" t="str"/>
      <x:c r="J5" s="88" t="str">
        <x:v>Workbook Version</x:v>
      </x:c>
      <x:c r="K5" s="58" t="str">
        <x:v>1.1</x:v>
      </x:c>
      <x:c r="L5" t="str"/>
    </x:row>
    <x:row r="6">
      <x:c r="A6" s="46" t="str">
        <x:v>方法规则来源</x:v>
      </x:c>
      <x:c r="B6" s="51" t="str">
        <x:v>方法原文明示 / 方法原文推导 / 产品适应策略 / 用户确认 / 待确认 必须分开标识；不得混写。</x:v>
      </x:c>
      <x:c r="C6" s="2" t="str"/>
      <x:c r="D6" s="2" t="str">
        <x:v>递进规则</x:v>
      </x:c>
      <x:c r="E6" t="n">
        <x:f>COUNTA('05_递进规则'!A5:A200)</x:f>
        <x:v>24</x:v>
      </x:c>
      <x:c r="F6" s="10" t="str"/>
      <x:c r="G6" s="10" t="str"/>
      <x:c r="H6" s="10" t="str"/>
      <x:c r="I6" s="10" t="str"/>
      <x:c r="J6" s="88" t="str">
        <x:v>Method Key</x:v>
      </x:c>
      <x:c r="K6" s="58" t="str">
        <x:v>ksw_tcy_three_split_2026</x:v>
      </x:c>
      <x:c r="L6" t="str"/>
    </x:row>
    <x:row r="7">
      <x:c r="A7" s="46" t="str">
        <x:v>运行时真值</x:v>
      </x:c>
      <x:c r="B7" s="51" t="str">
        <x:v>Structured Method DB + User Runtime DB。RAG 只找证据；AI 只解释。</x:v>
      </x:c>
      <x:c r="C7" s="2" t="str"/>
      <x:c r="D7" s="2" t="str">
        <x:v>适应场景</x:v>
      </x:c>
      <x:c r="E7" t="n">
        <x:f>COUNTA('13_适应场景矩阵'!A5:A200)</x:f>
        <x:v>21</x:v>
      </x:c>
      <x:c r="F7" s="10" t="str"/>
      <x:c r="G7" s="10" t="str"/>
      <x:c r="H7" s="10" t="str"/>
      <x:c r="I7" s="10" t="str"/>
      <x:c r="J7" s="88" t="str">
        <x:v>Workbook角色</x:v>
      </x:c>
      <x:c r="K7" s="58" t="str">
        <x:v>Human-reviewed Canonical Layer</x:v>
      </x:c>
      <x:c r="L7" t="str"/>
    </x:row>
    <x:row r="8">
      <x:c r="A8" s="46" t="str">
        <x:v>发布阻塞</x:v>
      </x:c>
      <x:c r="B8" s="51" t="str">
        <x:v>P0 方法规则若 status=待确认/待核验且会影响处方、进阶或安全，则不得发布为 active method release。</x:v>
      </x:c>
      <x:c r="C8" s="2" t="str"/>
      <x:c r="D8" s="2" t="str">
        <x:v>官方视频残余Blocker</x:v>
      </x:c>
      <x:c r="E8" t="n">
        <x:f>COUNTIFS('09_视频待核验'!I5:I50,"P0",'09_视频待核验'!J5:J50,"&lt;&gt;已解决")</x:f>
        <x:v>1</x:v>
      </x:c>
      <x:c r="F8" s="10" t="str"/>
      <x:c r="G8" s="10" t="str"/>
      <x:c r="H8" s="10" t="str"/>
      <x:c r="I8" s="10" t="str"/>
      <x:c r="J8" s="88" t="str">
        <x:v>生产读取</x:v>
      </x:c>
      <x:c r="K8" s="58" t="str">
        <x:v>禁止直接读xlsx</x:v>
      </x:c>
      <x:c r="L8" t="str"/>
    </x:row>
    <x:row r="9">
      <x:c r="A9" s="2"/>
      <x:c r="B9" s="2"/>
      <x:c r="C9" s="2"/>
      <x:c r="D9" s="2" t="str">
        <x:v>未决问题</x:v>
      </x:c>
      <x:c r="E9" t="n">
        <x:f>COUNTIF('18_未决问题'!I5:I200,"未解决")</x:f>
        <x:v>6</x:v>
      </x:c>
      <x:c r="J9" s="58" t="str">
        <x:v>Checksum</x:v>
      </x:c>
      <x:c r="K9" s="58" t="str">
        <x:v>由Importer读取文件字节后计算</x:v>
      </x:c>
    </x:row>
    <x:row r="10">
      <x:c r="A10" s="2"/>
      <x:c r="B10" s="2"/>
      <x:c r="C10" s="2"/>
      <x:c r="D10" s="2"/>
    </x:row>
    <x:row r="11">
      <x:c r="A11" s="2"/>
      <x:c r="B11" s="2"/>
      <x:c r="C11" s="2"/>
      <x:c r="D11" s="2"/>
    </x:row>
    <x:row r="12">
      <x:c r="A12" s="46" t="str">
        <x:v>Sheet</x:v>
      </x:c>
      <x:c r="B12" s="46" t="str">
        <x:v>资产类型</x:v>
      </x:c>
      <x:c r="C12" s="46" t="str">
        <x:v>是否可导入</x:v>
      </x:c>
      <x:c r="D12" s="46" t="str">
        <x:v>生产用途</x:v>
      </x:c>
      <x:c r="E12" s="56" t="str">
        <x:v>谁维护</x:v>
      </x:c>
      <x:c r="F12" s="56" t="str">
        <x:v>Importer动作</x:v>
      </x:c>
      <x:c r="G12" s="56" t="str">
        <x:v>发布阻塞</x:v>
      </x:c>
      <x:c r="H12" s="56" t="str">
        <x:v>备注</x:v>
      </x:c>
      <x:c r="J12" s="54" t="str">
        <x:v>Release步骤</x:v>
      </x:c>
      <x:c r="K12" s="54" t="str">
        <x:v>动作</x:v>
      </x:c>
      <x:c r="L12" s="54" t="str">
        <x:v>产物</x:v>
      </x:c>
    </x:row>
    <x:row r="13">
      <x:c r="A13" s="43" t="str">
        <x:v>00_使用说明</x:v>
      </x:c>
      <x:c r="B13" s="43" t="str">
        <x:v>治理</x:v>
      </x:c>
      <x:c r="C13" s="43" t="str">
        <x:v>否</x:v>
      </x:c>
      <x:c r="D13" s="43" t="str">
        <x:v>说明权威层级/发布流程</x:v>
      </x:c>
      <x:c r="E13" s="58" t="str">
        <x:v>产品+工程</x:v>
      </x:c>
      <x:c r="F13" s="58" t="str">
        <x:v>无</x:v>
      </x:c>
      <x:c r="G13" s="58" t="str">
        <x:v>否</x:v>
      </x:c>
      <x:c r="H13" s="58" t="str">
        <x:v>repo中首先阅读</x:v>
      </x:c>
      <x:c r="J13" s="58" t="str">
        <x:v>1</x:v>
      </x:c>
      <x:c r="K13" s="58" t="str">
        <x:v>导入/更新 Source</x:v>
      </x:c>
      <x:c r="L13" s="58" t="str">
        <x:v>method_source_documents + checksum</x:v>
      </x:c>
    </x:row>
    <x:row r="14">
      <x:c r="A14" s="43" t="str">
        <x:v>01_字段确认</x:v>
      </x:c>
      <x:c r="B14" s="43" t="str">
        <x:v>历史验证</x:v>
      </x:c>
      <x:c r="C14" s="43" t="str">
        <x:v>否</x:v>
      </x:c>
      <x:c r="D14" s="43" t="str">
        <x:v>保留目标用户字段验证历史</x:v>
      </x:c>
      <x:c r="E14" s="58" t="str">
        <x:v>产品</x:v>
      </x:c>
      <x:c r="F14" s="58" t="str">
        <x:v>无</x:v>
      </x:c>
      <x:c r="G14" s="58" t="str">
        <x:v>否</x:v>
      </x:c>
      <x:c r="H14" s="58" t="str">
        <x:v>不作为运行时真值</x:v>
      </x:c>
      <x:c r="J14" s="58" t="str">
        <x:v>2</x:v>
      </x:c>
      <x:c r="K14" s="58" t="str">
        <x:v>切片与 embedding</x:v>
      </x:c>
      <x:c r="L14" s="58" t="str">
        <x:v>method_source_chunks</x:v>
      </x:c>
    </x:row>
    <x:row r="15">
      <x:c r="A15" s="43" t="str">
        <x:v>02_方法论总览</x:v>
      </x:c>
      <x:c r="B15" s="43" t="str">
        <x:v>Canonical</x:v>
      </x:c>
      <x:c r="C15" s="43" t="str">
        <x:v>是</x:v>
      </x:c>
      <x:c r="D15" s="43" t="str">
        <x:v>方法级原则/约束</x:v>
      </x:c>
      <x:c r="E15" s="58" t="str">
        <x:v>产品/方法审核</x:v>
      </x:c>
      <x:c r="F15" s="58" t="str">
        <x:v>导入 method_rules(principle)</x:v>
      </x:c>
      <x:c r="G15" s="58" t="str">
        <x:v>是</x:v>
      </x:c>
      <x:c r="H15" s="58" t="str">
        <x:v>只导入status=生效</x:v>
      </x:c>
      <x:c r="J15" s="58" t="str">
        <x:v>3</x:v>
      </x:c>
      <x:c r="K15" s="58" t="str">
        <x:v>人工整理/确认本Workbook</x:v>
      </x:c>
      <x:c r="L15" s="58" t="str">
        <x:v>Canonical rows</x:v>
      </x:c>
    </x:row>
    <x:row r="16">
      <x:c r="A16" s="58" t="str">
        <x:v>03_计划结构</x:v>
      </x:c>
      <x:c r="B16" s="58" t="str">
        <x:v>Canonical</x:v>
      </x:c>
      <x:c r="C16" s="58" t="str">
        <x:v>是</x:v>
      </x:c>
      <x:c r="D16" s="58" t="str">
        <x:v>三分化结构/动作顺序/角色</x:v>
      </x:c>
      <x:c r="E16" s="58" t="str">
        <x:v>产品/方法审核</x:v>
      </x:c>
      <x:c r="F16" s="58" t="str">
        <x:v>导入 method_splits + method_split_exercises</x:v>
      </x:c>
      <x:c r="G16" s="58" t="str">
        <x:v>是</x:v>
      </x:c>
      <x:c r="H16" s="58" t="str">
        <x:v>P0未决字段会阻塞</x:v>
      </x:c>
      <x:c r="J16" s="58" t="str">
        <x:v>4</x:v>
      </x:c>
      <x:c r="K16" s="58" t="str">
        <x:v>Importer 校验</x:v>
      </x:c>
      <x:c r="L16" s="58" t="str">
        <x:v>validation report + diff</x:v>
      </x:c>
    </x:row>
    <x:row r="17">
      <x:c r="A17" s="58" t="str">
        <x:v>04_动作执行库</x:v>
      </x:c>
      <x:c r="B17" s="58" t="str">
        <x:v>Canonical</x:v>
      </x:c>
      <x:c r="C17" s="58" t="str">
        <x:v>是</x:v>
      </x:c>
      <x:c r="D17" s="58" t="str">
        <x:v>动作执行cue/退阶/异常边界</x:v>
      </x:c>
      <x:c r="E17" s="58" t="str">
        <x:v>产品/方法审核</x:v>
      </x:c>
      <x:c r="F17" s="58" t="str">
        <x:v>导入 technique/prescription rules</x:v>
      </x:c>
      <x:c r="G17" s="58" t="str">
        <x:v>部分</x:v>
      </x:c>
      <x:c r="H17" s="58" t="str">
        <x:v>视觉依赖可单独发布</x:v>
      </x:c>
      <x:c r="J17" s="58" t="str">
        <x:v>5</x:v>
      </x:c>
      <x:c r="K17" s="58" t="str">
        <x:v>创建 Draft Release</x:v>
      </x:c>
      <x:c r="L17" s="58" t="str">
        <x:v>method_release(status=draft)</x:v>
      </x:c>
    </x:row>
    <x:row r="18">
      <x:c r="A18" s="58" t="str">
        <x:v>05_递进规则</x:v>
      </x:c>
      <x:c r="B18" s="58" t="str">
        <x:v>Canonical</x:v>
      </x:c>
      <x:c r="C18" s="58" t="str">
        <x:v>是</x:v>
      </x:c>
      <x:c r="D18" s="58" t="str">
        <x:v>动作阶段状态机</x:v>
      </x:c>
      <x:c r="E18" s="58" t="str">
        <x:v>产品/方法审核</x:v>
      </x:c>
      <x:c r="F18" s="58" t="str">
        <x:v>导入 method_rules(progression)</x:v>
      </x:c>
      <x:c r="G18" s="58" t="str">
        <x:v>是</x:v>
      </x:c>
      <x:c r="H18" s="58" t="str">
        <x:v>核心运行时</x:v>
      </x:c>
      <x:c r="J18" s="58" t="str">
        <x:v>6</x:v>
      </x:c>
      <x:c r="K18" s="58" t="str">
        <x:v>Seed/Upsert release-scoped rules</x:v>
      </x:c>
      <x:c r="L18" s="58" t="str">
        <x:v>method rules / adaptation policies / evidence links</x:v>
      </x:c>
    </x:row>
    <x:row r="19">
      <x:c r="A19" s="58" t="str">
        <x:v>06_训练执行Tracking</x:v>
      </x:c>
      <x:c r="B19" s="58" t="str">
        <x:v>测试模板</x:v>
      </x:c>
      <x:c r="C19" s="58" t="str">
        <x:v>否</x:v>
      </x:c>
      <x:c r="D19" s="58" t="str">
        <x:v>模拟逐组执行/验收fixture</x:v>
      </x:c>
      <x:c r="E19" s="58" t="str">
        <x:v>产品/QA</x:v>
      </x:c>
      <x:c r="F19" s="58" t="str">
        <x:v>无</x:v>
      </x:c>
      <x:c r="G19" s="58" t="str">
        <x:v>否</x:v>
      </x:c>
      <x:c r="H19" s="58" t="str">
        <x:v>不读入生产</x:v>
      </x:c>
      <x:c r="J19" s="58" t="str">
        <x:v>7</x:v>
      </x:c>
      <x:c r="K19" s="58" t="str">
        <x:v>规则/场景/回归测试</x:v>
      </x:c>
      <x:c r="L19" s="58" t="str">
        <x:v>test report</x:v>
      </x:c>
    </x:row>
    <x:row r="20">
      <x:c r="A20" s="58" t="str">
        <x:v>07_恢复疲劳Tracking</x:v>
      </x:c>
      <x:c r="B20" s="58" t="str">
        <x:v>验证模板</x:v>
      </x:c>
      <x:c r="C20" s="58" t="str">
        <x:v>否</x:v>
      </x:c>
      <x:c r="D20" s="58" t="str">
        <x:v>恢复数据研究/测试</x:v>
      </x:c>
      <x:c r="E20" s="58" t="str">
        <x:v>产品/QA</x:v>
      </x:c>
      <x:c r="F20" s="58" t="str">
        <x:v>无</x:v>
      </x:c>
      <x:c r="G20" s="58" t="str">
        <x:v>否</x:v>
      </x:c>
      <x:c r="H20" s="58" t="str">
        <x:v>V1 UI仅3个轻输入</x:v>
      </x:c>
      <x:c r="J20" s="58" t="str">
        <x:v>8</x:v>
      </x:c>
      <x:c r="K20" s="58" t="str">
        <x:v>Activate Release</x:v>
      </x:c>
      <x:c r="L20" s="58" t="str">
        <x:v>status=active，旧release保留</x:v>
      </x:c>
    </x:row>
    <x:row r="21">
      <x:c r="A21" s="58" t="str">
        <x:v>08_周周期复盘</x:v>
      </x:c>
      <x:c r="B21" s="58" t="str">
        <x:v>测试模板</x:v>
      </x:c>
      <x:c r="C21" s="58" t="str">
        <x:v>否</x:v>
      </x:c>
      <x:c r="D21" s="58" t="str">
        <x:v>周/循环复盘验收</x:v>
      </x:c>
      <x:c r="E21" s="58" t="str">
        <x:v>产品/QA</x:v>
      </x:c>
      <x:c r="F21" s="58" t="str">
        <x:v>无</x:v>
      </x:c>
      <x:c r="G21" s="58" t="str">
        <x:v>否</x:v>
      </x:c>
      <x:c r="H21" s="58" t="str">
        <x:v>不作为规则来源</x:v>
      </x:c>
      <x:c r="J21" s="58" t="str">
        <x:v>9</x:v>
      </x:c>
      <x:c r="K21" s="58" t="str">
        <x:v>用户运行时绑定 release_id</x:v>
      </x:c>
      <x:c r="L21" s="58" t="str">
        <x:v>历史session永远可追溯</x:v>
      </x:c>
    </x:row>
    <x:row r="22">
      <x:c r="A22" s="58" t="str">
        <x:v>09_视频待核验</x:v>
      </x:c>
      <x:c r="B22" s="58" t="str">
        <x:v>官方解析 / 残余阻塞</x:v>
      </x:c>
      <x:c r="C22" s="58" t="str">
        <x:v>否</x:v>
      </x:c>
      <x:c r="D22" s="58" t="str">
        <x:v>记录官方解析结论；只保留真正仍缺方法证据的项目</x:v>
      </x:c>
      <x:c r="E22" s="58" t="str">
        <x:v>产品/方法审核</x:v>
      </x:c>
      <x:c r="F22" s="58" t="str">
        <x:v>无</x:v>
      </x:c>
      <x:c r="G22" s="58" t="str">
        <x:v>是</x:v>
      </x:c>
      <x:c r="H22" s="58" t="str">
        <x:v>Release按“是否阻塞发布=是”判断，不再按P0/待核验机械判断</x:v>
      </x:c>
      <x:c r="J22" s="120" t="str">
        <x:v>v1.1变更</x:v>
      </x:c>
      <x:c r="K22" s="120" t="str">
        <x:v>状态</x:v>
      </x:c>
      <x:c r="L22" s="120" t="str">
        <x:v>说明</x:v>
      </x:c>
    </x:row>
    <x:row r="23">
      <x:c r="A23" s="58" t="str">
        <x:v>10_枚举字典</x:v>
      </x:c>
      <x:c r="B23" s="58" t="str">
        <x:v>Canonical辅助</x:v>
      </x:c>
      <x:c r="C23" s="58" t="str">
        <x:v>是</x:v>
      </x:c>
      <x:c r="D23" s="58" t="str">
        <x:v>前端中文枚举+内部key</x:v>
      </x:c>
      <x:c r="E23" s="58" t="str">
        <x:v>产品+工程</x:v>
      </x:c>
      <x:c r="F23" s="58" t="str">
        <x:v>导入/生成 enum config</x:v>
      </x:c>
      <x:c r="G23" s="58" t="str">
        <x:v>部分</x:v>
      </x:c>
      <x:c r="H23" s="58" t="str">
        <x:v>不覆盖业务规则</x:v>
      </x:c>
      <x:c r="J23" s="58" t="str">
        <x:v>恢复输入精简</x:v>
      </x:c>
      <x:c r="K23" s="58" t="str">
        <x:v>完成</x:v>
      </x:c>
      <x:c r="L23" s="58" t="str">
        <x:v>恢复输入已精简；V1核心只保留睡眠质量、整体疲劳、明显不适，设备数据后置。</x:v>
      </x:c>
    </x:row>
    <x:row r="24">
      <x:c r="A24" s="58" t="str">
        <x:v>11_来源与原文定位</x:v>
      </x:c>
      <x:c r="B24" s="58" t="str">
        <x:v>来源说明</x:v>
      </x:c>
      <x:c r="C24" s="58" t="str">
        <x:v>否</x:v>
      </x:c>
      <x:c r="D24" s="58" t="str">
        <x:v>来源资产登记</x:v>
      </x:c>
      <x:c r="E24" s="58" t="str">
        <x:v>产品</x:v>
      </x:c>
      <x:c r="F24" s="58" t="str">
        <x:v>无</x:v>
      </x:c>
      <x:c r="G24" s="58" t="str">
        <x:v>否</x:v>
      </x:c>
      <x:c r="H24" s="58" t="str">
        <x:v>source documents另入DB</x:v>
      </x:c>
      <x:c r="J24" s="58" t="str">
        <x:v>视频核验</x:v>
      </x:c>
      <x:c r="K24" s="58" t="str">
        <x:v>大部分完成</x:v>
      </x:c>
      <x:c r="L24" s="58" t="str">
        <x:v>V001-V008/V010已解决；V009缩小为Day3精确处方</x:v>
      </x:c>
    </x:row>
    <x:row r="25">
      <x:c r="A25" s="58" t="str">
        <x:v>12_重量校准规则</x:v>
      </x:c>
      <x:c r="B25" s="58" t="str">
        <x:v>Canonical</x:v>
      </x:c>
      <x:c r="C25" s="58" t="str">
        <x:v>是</x:v>
      </x:c>
      <x:c r="D25" s="58" t="str">
        <x:v>当天负重匹配/回归校准</x:v>
      </x:c>
      <x:c r="E25" s="58" t="str">
        <x:v>产品/方法审核</x:v>
      </x:c>
      <x:c r="F25" s="58" t="str">
        <x:v>导入 method_rules(calibration)</x:v>
      </x:c>
      <x:c r="G25" s="58" t="str">
        <x:v>是</x:v>
      </x:c>
      <x:c r="H25" s="58" t="str">
        <x:v>重量校准≠阶段进阶</x:v>
      </x:c>
      <x:c r="J25" s="58" t="str">
        <x:v>官方证据</x:v>
      </x:c>
      <x:c r="K25" s="58" t="str">
        <x:v>补全</x:v>
      </x:c>
      <x:c r="L25" s="58" t="str">
        <x:v>使用凯圣王/谭成义官方三分化系列与官方动作详解</x:v>
      </x:c>
    </x:row>
    <x:row r="26">
      <x:c r="A26" s="58" t="str">
        <x:v>13_适应场景矩阵</x:v>
      </x:c>
      <x:c r="B26" s="58" t="str">
        <x:v>Canonical策略</x:v>
      </x:c>
      <x:c r="C26" s="58" t="str">
        <x:v>是</x:v>
      </x:c>
      <x:c r="D26" s="58" t="str">
        <x:v>偏离计划/中断/不适等教练式适应</x:v>
      </x:c>
      <x:c r="E26" s="58" t="str">
        <x:v>产品</x:v>
      </x:c>
      <x:c r="F26" s="58" t="str">
        <x:v>导入 adaptation_policies</x:v>
      </x:c>
      <x:c r="G26" s="58" t="str">
        <x:v>部分</x:v>
      </x:c>
      <x:c r="H26" s="58" t="str">
        <x:v>产品策略与方法真值分开</x:v>
      </x:c>
      <x:c r="J26" s="58" t="str">
        <x:v>剩余核心blocker</x:v>
      </x:c>
      <x:c r="K26" s="58" t="str">
        <x:v>2项</x:v>
      </x:c>
      <x:c r="L26" s="58" t="str">
        <x:v>Day3精确处方；坐姿肩屈位绳索弯举首轮精确处方</x:v>
      </x:c>
    </x:row>
    <x:row r="27">
      <x:c r="A27" s="58" t="str">
        <x:v>14_规则证据索引</x:v>
      </x:c>
      <x:c r="B27" s="58" t="str">
        <x:v>证据索引</x:v>
      </x:c>
      <x:c r="C27" s="58" t="str">
        <x:v>是</x:v>
      </x:c>
      <x:c r="D27" s="58" t="str">
        <x:v>规则→原文证据绑定</x:v>
      </x:c>
      <x:c r="E27" s="58" t="str">
        <x:v>产品/方法审核</x:v>
      </x:c>
      <x:c r="F27" s="58" t="str">
        <x:v>导入 method_rule_sources</x:v>
      </x:c>
      <x:c r="G27" s="58" t="str">
        <x:v>是</x:v>
      </x:c>
      <x:c r="H27" s="58" t="str">
        <x:v>方法规则应可追溯</x:v>
      </x:c>
    </x:row>
    <x:row r="28">
      <x:c r="A28" s="58" t="str">
        <x:v>15_RAG切片规范</x:v>
      </x:c>
      <x:c r="B28" s="58" t="str">
        <x:v>工程契约</x:v>
      </x:c>
      <x:c r="C28" s="58" t="str">
        <x:v>否</x:v>
      </x:c>
      <x:c r="D28" s="58" t="str">
        <x:v>定义source chunking/retrieval metadata</x:v>
      </x:c>
      <x:c r="E28" s="58" t="str">
        <x:v>AI/工程</x:v>
      </x:c>
      <x:c r="F28" s="58" t="str">
        <x:v>控制 ingestion pipeline</x:v>
      </x:c>
      <x:c r="G28" s="58" t="str">
        <x:v>否</x:v>
      </x:c>
      <x:c r="H28" s="58" t="str">
        <x:v>不是方法规则</x:v>
      </x:c>
    </x:row>
    <x:row r="29">
      <x:c r="A29" s="58" t="str">
        <x:v>16_数据库映射</x:v>
      </x:c>
      <x:c r="B29" s="58" t="str">
        <x:v>工程契约</x:v>
      </x:c>
      <x:c r="C29" s="58" t="str">
        <x:v>否</x:v>
      </x:c>
      <x:c r="D29" s="58" t="str">
        <x:v>Sheet/字段→DB/API映射</x:v>
      </x:c>
      <x:c r="E29" s="58" t="str">
        <x:v>产品+工程</x:v>
      </x:c>
      <x:c r="F29" s="58" t="str">
        <x:v>指导 importer/schema</x:v>
      </x:c>
      <x:c r="G29" s="58" t="str">
        <x:v>是</x:v>
      </x:c>
      <x:c r="H29" s="58" t="str">
        <x:v>变更需同步Spec</x:v>
      </x:c>
    </x:row>
    <x:row r="30">
      <x:c r="A30" s="58" t="str">
        <x:v>17_导入契约</x:v>
      </x:c>
      <x:c r="B30" s="58" t="str">
        <x:v>工程契约</x:v>
      </x:c>
      <x:c r="C30" s="58" t="str">
        <x:v>否</x:v>
      </x:c>
      <x:c r="D30" s="58" t="str">
        <x:v>定义每Sheet如何导入/校验/版本化</x:v>
      </x:c>
      <x:c r="E30" s="58" t="str">
        <x:v>工程</x:v>
      </x:c>
      <x:c r="F30" s="58" t="str">
        <x:v>Importer唯一规范</x:v>
      </x:c>
      <x:c r="G30" s="58" t="str">
        <x:v>是</x:v>
      </x:c>
      <x:c r="H30" s="58" t="str">
        <x:v>生产禁止直接读xlsx</x:v>
      </x:c>
    </x:row>
    <x:row r="31">
      <x:c r="A31" s="58" t="str">
        <x:v>18_未决问题</x:v>
      </x:c>
      <x:c r="B31" s="58" t="str">
        <x:v>发布阻塞</x:v>
      </x:c>
      <x:c r="C31" s="58" t="str">
        <x:v>否</x:v>
      </x:c>
      <x:c r="D31" s="58" t="str">
        <x:v>集中管理方法缺口/产品未决</x:v>
      </x:c>
      <x:c r="E31" s="58" t="str">
        <x:v>产品</x:v>
      </x:c>
      <x:c r="F31" s="58" t="str">
        <x:v>无</x:v>
      </x:c>
      <x:c r="G31" s="58" t="str">
        <x:v>是</x:v>
      </x:c>
      <x:c r="H31" s="58" t="str">
        <x:v>关闭后回填对应Canonical Sheet</x:v>
      </x:c>
    </x:row>
  </x:sheetData>
  <x:mergeCells>
    <x:mergeCell ref="A1:J1"/>
    <x:mergeCell ref="A2:J2"/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0a8aba5664044937"/>
  </x:tableParts>
</x:worksheet>
</file>

<file path=xl/worksheets/sheet2.xml><?xml version="1.0" encoding="utf-8"?>
<x:worksheet xmlns:x="http://schemas.openxmlformats.org/spreadsheetml/2006/main">
  <x:sheetFormatPr defaultRowHeight="14"/>
  <x:cols>
    <x:col min="1" max="1" width="10" customWidth="1"/>
    <x:col min="2" max="2" width="16" customWidth="1"/>
    <x:col min="3" max="3" width="12" customWidth="1"/>
    <x:col min="4" max="4" width="22" customWidth="1"/>
    <x:col min="5" max="5" width="24" customWidth="1"/>
    <x:col min="6" max="6" width="15" customWidth="1"/>
    <x:col min="7" max="7" width="17" customWidth="1"/>
    <x:col min="8" max="8" width="11" customWidth="1"/>
    <x:col min="9" max="9" width="9" customWidth="1"/>
    <x:col min="10" max="10" width="32" customWidth="1"/>
    <x:col min="11" max="11" width="40" customWidth="1"/>
    <x:col min="12" max="12" width="28" customWidth="1"/>
    <x:col min="13" max="13" width="14" customWidth="1"/>
    <x:col min="14" max="14" width="34" customWidth="1"/>
    <x:col min="15" max="15" width="16" customWidth="1"/>
    <x:col min="16" max="16" width="22" customWidth="1"/>
    <x:col min="18" max="18" width="20" customWidth="1"/>
    <x:col min="19" max="20" width="42" customWidth="1"/>
    <x:col min="21" max="21" width="38" customWidth="1"/>
    <x:col min="22" max="22" width="34" customWidth="1"/>
  </x:cols>
  <x:sheetData>
    <x:row r="1" ht="20" customHeight="1">
      <x:c r="A1" s="113" t="str">
        <x:v>历史字段验证资产｜保留原目标用户确认结构，不作为生产运行时真值</x:v>
      </x:c>
      <x:c r="B1" s="114"/>
      <x:c r="C1" s="114"/>
      <x:c r="D1" s="114"/>
      <x:c r="E1" s="114"/>
      <x:c r="F1" s="114"/>
      <x:c r="G1" s="114"/>
      <x:c r="H1" s="114"/>
      <x:c r="I1" s="114"/>
      <x:c r="J1" s="114"/>
      <x:c r="K1" s="114"/>
      <x:c r="L1" s="114"/>
      <x:c r="M1" s="114"/>
      <x:c r="N1" s="114"/>
      <x:c r="O1" s="114"/>
      <x:c r="P1" s="114"/>
      <x:c r="Q1" s="114"/>
      <x:c r="R1" s="115" t="str">
        <x:v>怎么确认这张表（给目标用户）</x:v>
      </x:c>
      <x:c r="S1" s="115"/>
      <x:c r="T1" s="115"/>
      <x:c r="U1" s="115"/>
      <x:c r="V1" s="115"/>
    </x:row>
    <x:row r="2" ht="22.649999618530273" customHeight="1">
      <x:c r="A2" s="116" t="str">
        <x:v>Pawside 2.0 已重新确认关键交互；本Sheet用于审计旧验证过程。Canonical运行规则请看02/03/04/05/12/13。</x:v>
      </x:c>
      <x:c r="B2" s="114"/>
      <x:c r="C2" s="114"/>
      <x:c r="D2" s="114"/>
      <x:c r="E2" s="114"/>
      <x:c r="F2" s="114"/>
      <x:c r="G2" s="114"/>
      <x:c r="H2" s="114"/>
      <x:c r="I2" s="114"/>
      <x:c r="J2" s="114"/>
      <x:c r="K2" s="114"/>
      <x:c r="L2" s="114"/>
      <x:c r="M2" s="114"/>
      <x:c r="N2" s="114"/>
      <x:c r="O2" s="114"/>
      <x:c r="P2" s="114"/>
      <x:c r="Q2" s="114"/>
      <x:c r="R2" s="114"/>
      <x:c r="S2" s="114"/>
      <x:c r="T2" s="114"/>
      <x:c r="U2" s="114"/>
      <x:c r="V2" s="114"/>
    </x:row>
    <x:row r="3">
      <x:c r="A3"/>
      <x:c r="B3"/>
      <x:c r="C3"/>
      <x:c r="D3"/>
      <x:c r="E3"/>
      <x:c r="F3"/>
      <x:c r="G3"/>
      <x:c r="H3"/>
      <x:c r="I3"/>
      <x:c r="J3"/>
      <x:c r="K3"/>
      <x:c r="L3"/>
      <x:c r="M3"/>
      <x:c r="N3"/>
      <x:c r="O3"/>
      <x:c r="P3"/>
      <x:c r="Q3"/>
      <x:c r="R3" s="9" t="str">
        <x:v>步骤</x:v>
      </x:c>
      <x:c r="S3" s="9" t="str">
        <x:v>你需要做什么</x:v>
      </x:c>
      <x:c r="T3" s="9" t="str">
        <x:v>怎么判断</x:v>
      </x:c>
      <x:c r="U3" s="9" t="str">
        <x:v>例子</x:v>
      </x:c>
      <x:c r="V3" s="9" t="str">
        <x:v>不用做什么</x:v>
      </x:c>
    </x:row>
    <x:row r="4">
      <x:c r="A4" s="117" t="str">
        <x:v>字段ID</x:v>
      </x:c>
      <x:c r="B4" s="117" t="str">
        <x:v>域</x:v>
      </x:c>
      <x:c r="C4" s="117" t="str">
        <x:v>阶段</x:v>
      </x:c>
      <x:c r="D4" s="117" t="str">
        <x:v>字段中文名</x:v>
      </x:c>
      <x:c r="E4" s="117" t="str">
        <x:v>字段Key建议</x:v>
      </x:c>
      <x:c r="F4" s="117" t="str">
        <x:v>字段类型</x:v>
      </x:c>
      <x:c r="G4" s="117" t="str">
        <x:v>谁填写/产生</x:v>
      </x:c>
      <x:c r="H4" s="117" t="str">
        <x:v>影响决策</x:v>
      </x:c>
      <x:c r="I4" s="117" t="str">
        <x:v>优先级</x:v>
      </x:c>
      <x:c r="J4" s="117" t="str">
        <x:v>为什么需要</x:v>
      </x:c>
      <x:c r="K4" s="117" t="str">
        <x:v>方法论依据</x:v>
      </x:c>
      <x:c r="L4" s="117" t="str">
        <x:v>默认/枚举</x:v>
      </x:c>
      <x:c r="M4" s="117" t="str">
        <x:v>用户结论</x:v>
      </x:c>
      <x:c r="N4" s="117" t="str">
        <x:v>用户原话</x:v>
      </x:c>
      <x:c r="O4" s="117" t="str">
        <x:v>最终决策</x:v>
      </x:c>
      <x:c r="P4" s="117" t="str">
        <x:v>备注</x:v>
      </x:c>
      <x:c r="Q4" s="122"/>
      <x:c r="R4" s="121" t="str">
        <x:v>1. 先看黄色字段</x:v>
      </x:c>
      <x:c r="S4" s="121" t="str">
        <x:v>只看被标黄的字段，不用逐行研究技术Key</x:v>
      </x:c>
      <x:c r="T4" s="121" t="str">
        <x:v>判断你真实训练时会不会用/会不会填</x:v>
      </x:c>
      <x:c r="U4" s="121" t="str">
        <x:v>“每组实际RPE”→我愿不愿意每组都点一下？</x:v>
      </x:c>
      <x:c r="V4" s="121" t="str">
        <x:v>不用理解数据库字段</x:v>
      </x:c>
    </x:row>
    <x:row r="5" ht="28">
      <x:c r="A5" s="43" t="str">
        <x:v>F001</x:v>
      </x:c>
      <x:c r="B5" s="43" t="str">
        <x:v>方法配置</x:v>
      </x:c>
      <x:c r="C5" s="43" t="str">
        <x:v>首次</x:v>
      </x:c>
      <x:c r="D5" s="43" t="str">
        <x:v>当前方法论</x:v>
      </x:c>
      <x:c r="E5" s="43" t="str">
        <x:v>method_id</x:v>
      </x:c>
      <x:c r="F5" s="43" t="str">
        <x:v>reference</x:v>
      </x:c>
      <x:c r="G5" s="43" t="str">
        <x:v>系统/用户</x:v>
      </x:c>
      <x:c r="H5" s="43" t="str">
        <x:v>是</x:v>
      </x:c>
      <x:c r="I5" s="43" t="str">
        <x:v>P0</x:v>
      </x:c>
      <x:c r="J5" s="43" t="str">
        <x:v>训练处方和复盘上游</x:v>
      </x:c>
      <x:c r="K5" s="43" t="str">
        <x:v>计划必须符合个人并按方法执行</x:v>
      </x:c>
      <x:c r="L5" s="43" t="str">
        <x:v>当前方法/自定义</x:v>
      </x:c>
      <x:c r="M5" s="93" t="str">
        <x:v>待确认</x:v>
      </x:c>
      <x:c r="N5" s="93"/>
      <x:c r="O5" s="93" t="str">
        <x:v>待定</x:v>
      </x:c>
      <x:c r="P5" s="93"/>
      <x:c r="Q5" s="58"/>
      <x:c r="R5" s="88" t="str">
        <x:v>2. 对每个字段给结论</x:v>
      </x:c>
      <x:c r="S5" s="88" t="str">
        <x:v>在“用户结论”选：认可 / 不需要 / 想改字段 / 希望自动化 / 不理解</x:v>
      </x:c>
      <x:c r="T5" s="88" t="str">
        <x:v>按真实训练场景，不按“理论上有用”</x:v>
      </x:c>
      <x:c r="U5" s="88" t="str">
        <x:v>有用但我不会每天手填 → 选“希望自动化”</x:v>
      </x:c>
      <x:c r="V5" s="88" t="str">
        <x:v>不用为了显得完整而全选认可</x:v>
      </x:c>
    </x:row>
    <x:row r="6" ht="28">
      <x:c r="A6" s="43" t="str">
        <x:v>F002</x:v>
      </x:c>
      <x:c r="B6" s="43" t="str">
        <x:v>方法配置</x:v>
      </x:c>
      <x:c r="C6" s="43" t="str">
        <x:v>首次</x:v>
      </x:c>
      <x:c r="D6" s="93" t="str">
        <x:v>训练经验</x:v>
      </x:c>
      <x:c r="E6" s="93" t="str">
        <x:v>training_experience</x:v>
      </x:c>
      <x:c r="F6" s="93" t="str">
        <x:v>enum</x:v>
      </x:c>
      <x:c r="G6" s="93" t="str">
        <x:v>用户</x:v>
      </x:c>
      <x:c r="H6" s="93" t="str">
        <x:v>是</x:v>
      </x:c>
      <x:c r="I6" s="93" t="str">
        <x:v>P0</x:v>
      </x:c>
      <x:c r="J6" s="93" t="str">
        <x:v>决定起始强度/技术学习</x:v>
      </x:c>
      <x:c r="K6" s="93" t="str">
        <x:v>新手需先开发神经和动作熟练度</x:v>
      </x:c>
      <x:c r="L6" s="93" t="str">
        <x:v>新手/有基础/熟练</x:v>
      </x:c>
      <x:c r="M6" s="93" t="str">
        <x:v>待确认</x:v>
      </x:c>
      <x:c r="N6" s="93"/>
      <x:c r="O6" s="93" t="str">
        <x:v>待定</x:v>
      </x:c>
      <x:c r="P6" s="93"/>
      <x:c r="Q6" s="58"/>
      <x:c r="R6" s="88" t="str">
        <x:v>3. 不喜欢名字就直接改</x:v>
      </x:c>
      <x:c r="S6" s="88" t="str">
        <x:v>如果字段概念对，但叫法别扭，在“用户原话”写你平常怎么说</x:v>
      </x:c>
      <x:c r="T6" s="88" t="str">
        <x:v>优先用你日常会说的话</x:v>
      </x:c>
      <x:c r="U6" s="88" t="str">
        <x:v>“目标肌感受”我会说“这个动作今天有没有吃到背”</x:v>
      </x:c>
      <x:c r="V6" s="88" t="str">
        <x:v>不用考虑产品专业术语</x:v>
      </x:c>
    </x:row>
    <x:row r="7" ht="28">
      <x:c r="A7" s="43" t="str">
        <x:v>F003</x:v>
      </x:c>
      <x:c r="B7" s="43" t="str">
        <x:v>方法配置</x:v>
      </x:c>
      <x:c r="C7" s="43" t="str">
        <x:v>首次</x:v>
      </x:c>
      <x:c r="D7" s="93" t="str">
        <x:v>可用器械</x:v>
      </x:c>
      <x:c r="E7" s="93" t="str">
        <x:v>available_equipment</x:v>
      </x:c>
      <x:c r="F7" s="93" t="str">
        <x:v>multi_enum</x:v>
      </x:c>
      <x:c r="G7" s="93" t="str">
        <x:v>用户</x:v>
      </x:c>
      <x:c r="H7" s="93" t="str">
        <x:v>是</x:v>
      </x:c>
      <x:c r="I7" s="93" t="str">
        <x:v>P0</x:v>
      </x:c>
      <x:c r="J7" s="93" t="str">
        <x:v>决定替代动作</x:v>
      </x:c>
      <x:c r="K7" s="93" t="str">
        <x:v>海豹划船/滑轮；器械划船/哑铃</x:v>
      </x:c>
      <x:c r="L7" s="93" t="str">
        <x:v>器械列表</x:v>
      </x:c>
      <x:c r="M7" s="93" t="str">
        <x:v>待确认</x:v>
      </x:c>
      <x:c r="N7" s="93"/>
      <x:c r="O7" s="93" t="str">
        <x:v>待定</x:v>
      </x:c>
      <x:c r="P7" s="93"/>
      <x:c r="Q7" s="58"/>
      <x:c r="R7" s="88" t="str">
        <x:v>4. 重点看训练中字段</x:v>
      </x:c>
      <x:c r="S7" s="88" t="str">
        <x:v>想象你正在健身房，一组刚做完，愿意花几秒记录什么</x:v>
      </x:c>
      <x:c r="T7" s="88" t="str">
        <x:v>超过3~5秒仍觉得烦的，告诉我</x:v>
      </x:c>
      <x:c r="U7" s="88" t="str">
        <x:v>重量/次数自动保留，只补RPE，可能可以接受</x:v>
      </x:c>
      <x:c r="V7" s="88" t="str">
        <x:v>不用假设自己会认真填长备注</x:v>
      </x:c>
    </x:row>
    <x:row r="8" ht="28">
      <x:c r="A8" s="43" t="str">
        <x:v>F004</x:v>
      </x:c>
      <x:c r="B8" s="43" t="str">
        <x:v>方法配置</x:v>
      </x:c>
      <x:c r="C8" s="43" t="str">
        <x:v>首次</x:v>
      </x:c>
      <x:c r="D8" s="93" t="str">
        <x:v>每周可训练日</x:v>
      </x:c>
      <x:c r="E8" s="93" t="str">
        <x:v>available_days</x:v>
      </x:c>
      <x:c r="F8" s="93" t="str">
        <x:v>multi_enum</x:v>
      </x:c>
      <x:c r="G8" s="93" t="str">
        <x:v>用户</x:v>
      </x:c>
      <x:c r="H8" s="93" t="str">
        <x:v>是</x:v>
      </x:c>
      <x:c r="I8" s="93" t="str">
        <x:v>P1</x:v>
      </x:c>
      <x:c r="J8" s="93" t="str">
        <x:v>安排训练窗口但不硬锁频率</x:v>
      </x:c>
      <x:c r="K8" s="93" t="str">
        <x:v>频率取决于恢复</x:v>
      </x:c>
      <x:c r="L8" s="93" t="str">
        <x:v>周一~周日</x:v>
      </x:c>
      <x:c r="M8" s="93" t="str">
        <x:v>待确认</x:v>
      </x:c>
      <x:c r="N8" s="93"/>
      <x:c r="O8" s="93" t="str">
        <x:v>待定</x:v>
      </x:c>
      <x:c r="P8" s="93"/>
      <x:c r="Q8" s="58"/>
      <x:c r="R8" s="88" t="str">
        <x:v>5. 看训练前恢复字段</x:v>
      </x:c>
      <x:c r="S8" s="88" t="str">
        <x:v>判断哪些你现实里真的有数据来源</x:v>
      </x:c>
      <x:c r="T8" s="88" t="str">
        <x:v>判断你现实中真的有稳定数据来源；没有就不要强行增加记录负担</x:v>
      </x:c>
      <x:c r="U8" s="88" t="str">
        <x:v>我有Apple Watch，睡眠/HRV可以自动取；其他恢复信息我更愿意用简单主观选择</x:v>
      </x:c>
      <x:c r="V8" s="88" t="str">
        <x:v>不用为了科学性额外买设备</x:v>
      </x:c>
    </x:row>
    <x:row r="9">
      <x:c r="A9" s="43" t="str">
        <x:v>F005</x:v>
      </x:c>
      <x:c r="B9" s="43" t="str">
        <x:v>方法配置</x:v>
      </x:c>
      <x:c r="C9" s="43" t="str">
        <x:v>首次</x:v>
      </x:c>
      <x:c r="D9" s="93" t="str">
        <x:v>限制/不适部位</x:v>
      </x:c>
      <x:c r="E9" s="93" t="str">
        <x:v>limitations</x:v>
      </x:c>
      <x:c r="F9" s="93" t="str">
        <x:v>multi/text</x:v>
      </x:c>
      <x:c r="G9" s="93" t="str">
        <x:v>用户</x:v>
      </x:c>
      <x:c r="H9" s="93" t="str">
        <x:v>是</x:v>
      </x:c>
      <x:c r="I9" s="93" t="str">
        <x:v>P0</x:v>
      </x:c>
      <x:c r="J9" s="93" t="str">
        <x:v>影响ROM/退阶/替代</x:v>
      </x:c>
      <x:c r="K9" s="93" t="str">
        <x:v>肩部不适、活动度受限影响动作</x:v>
      </x:c>
      <x:c r="L9" s="93" t="str">
        <x:v>肩/肘/腕/腰/膝/髋/踝</x:v>
      </x:c>
      <x:c r="M9" s="93" t="str">
        <x:v>待确认</x:v>
      </x:c>
      <x:c r="N9" s="93"/>
      <x:c r="O9" s="93" t="str">
        <x:v>待定</x:v>
      </x:c>
      <x:c r="P9" s="93"/>
      <x:c r="Q9" s="58"/>
      <x:c r="R9" s="88" t="str">
        <x:v>6. 看训练后/周期字段</x:v>
      </x:c>
      <x:c r="S9" s="88" t="str">
        <x:v>判断哪些结果你真的想看到，并会影响下一次训练</x:v>
      </x:c>
      <x:c r="T9" s="88" t="str">
        <x:v>能改变下次动作/重量/休息的才有价值</x:v>
      </x:c>
      <x:c r="U9" s="88" t="str">
        <x:v>“下一次建议：维持/加重/降重”我会看</x:v>
      </x:c>
      <x:c r="V9" s="88" t="str">
        <x:v>纯展示但不改变行为的可删</x:v>
      </x:c>
    </x:row>
    <x:row r="10" ht="28">
      <x:c r="A10" s="43" t="str">
        <x:v>F006</x:v>
      </x:c>
      <x:c r="B10" s="43" t="str">
        <x:v>训练前</x:v>
      </x:c>
      <x:c r="C10" s="43" t="str">
        <x:v>每日</x:v>
      </x:c>
      <x:c r="D10" s="43" t="str">
        <x:v>今日Session</x:v>
      </x:c>
      <x:c r="E10" s="43" t="str">
        <x:v>session_type</x:v>
      </x:c>
      <x:c r="F10" s="43" t="str">
        <x:v>enum</x:v>
      </x:c>
      <x:c r="G10" s="43" t="str">
        <x:v>系统</x:v>
      </x:c>
      <x:c r="H10" s="43" t="str">
        <x:v>是</x:v>
      </x:c>
      <x:c r="I10" s="43" t="str">
        <x:v>P0</x:v>
      </x:c>
      <x:c r="J10" s="43" t="str">
        <x:v>决定动作列表</x:v>
      </x:c>
      <x:c r="K10" s="43" t="str">
        <x:v>三次训练完成一个循环</x:v>
      </x:c>
      <x:c r="L10" s="43" t="str">
        <x:v>Push/Pull/Lower/Rest</x:v>
      </x:c>
      <x:c r="M10" s="93" t="str">
        <x:v>待确认</x:v>
      </x:c>
      <x:c r="N10" s="93"/>
      <x:c r="O10" s="93" t="str">
        <x:v>待定</x:v>
      </x:c>
      <x:c r="P10" s="93"/>
      <x:c r="Q10" s="58"/>
      <x:c r="R10" s="88" t="str">
        <x:v>7. 最后只回答一个问题</x:v>
      </x:c>
      <x:c r="S10" s="88" t="str">
        <x:v>如果这个App只能让你每次训练多做3个操作，你最愿意留下哪3个？</x:v>
      </x:c>
      <x:c r="T10" s="88" t="str">
        <x:v>这是最终P0优先级</x:v>
      </x:c>
      <x:c r="U10" s="88" t="str">
        <x:v>例如：实际重量、实际次数、实际RPE</x:v>
      </x:c>
      <x:c r="V10" s="88" t="str">
        <x:v>不用帮我设计整个App</x:v>
      </x:c>
    </x:row>
    <x:row r="11">
      <x:c r="A11" s="43" t="str">
        <x:v>F007</x:v>
      </x:c>
      <x:c r="B11" s="43" t="str">
        <x:v>训练前</x:v>
      </x:c>
      <x:c r="C11" s="43" t="str">
        <x:v>每日</x:v>
      </x:c>
      <x:c r="D11" s="93" t="str">
        <x:v>主观状态</x:v>
      </x:c>
      <x:c r="E11" s="93" t="str">
        <x:v>subjective_readiness</x:v>
      </x:c>
      <x:c r="F11" s="93" t="str">
        <x:v>scale</x:v>
      </x:c>
      <x:c r="G11" s="93" t="str">
        <x:v>用户</x:v>
      </x:c>
      <x:c r="H11" s="93" t="str">
        <x:v>是</x:v>
      </x:c>
      <x:c r="I11" s="93" t="str">
        <x:v>P1</x:v>
      </x:c>
      <x:c r="J11" s="93" t="str">
        <x:v>补充客观恢复指标</x:v>
      </x:c>
      <x:c r="K11" s="93" t="str">
        <x:v>生活、睡眠、压力影响恢复</x:v>
      </x:c>
      <x:c r="L11" s="93" t="str">
        <x:v>1-5</x:v>
      </x:c>
      <x:c r="M11" s="93" t="str">
        <x:v>待确认</x:v>
      </x:c>
      <x:c r="N11" s="93"/>
      <x:c r="O11" s="93" t="str">
        <x:v>待定</x:v>
      </x:c>
      <x:c r="P11" s="93"/>
      <x:c r="Q11" s="58"/>
      <x:c r="R11" s="58"/>
      <x:c r="S11" s="58"/>
      <x:c r="T11" s="58"/>
      <x:c r="U11" s="58"/>
      <x:c r="V11" s="58"/>
    </x:row>
    <x:row r="12">
      <x:c r="A12" s="43" t="str">
        <x:v>F008</x:v>
      </x:c>
      <x:c r="B12" s="43" t="str">
        <x:v>训练前</x:v>
      </x:c>
      <x:c r="C12" s="43" t="str">
        <x:v>每日</x:v>
      </x:c>
      <x:c r="D12" s="93" t="str">
        <x:v>睡眠时长</x:v>
      </x:c>
      <x:c r="E12" s="93" t="str">
        <x:v>sleep_hours</x:v>
      </x:c>
      <x:c r="F12" s="93" t="str">
        <x:v>number</x:v>
      </x:c>
      <x:c r="G12" s="93" t="str">
        <x:v>用户/设备</x:v>
      </x:c>
      <x:c r="H12" s="93" t="str">
        <x:v>是</x:v>
      </x:c>
      <x:c r="I12" s="93" t="str">
        <x:v>P1</x:v>
      </x:c>
      <x:c r="J12" s="93" t="str">
        <x:v>恢复输入</x:v>
      </x:c>
      <x:c r="K12" s="93" t="str">
        <x:v>睡眠影响恢复与频率</x:v>
      </x:c>
      <x:c r="L12" s="93" t="str">
        <x:v>小时</x:v>
      </x:c>
      <x:c r="M12" s="93" t="str">
        <x:v>待确认</x:v>
      </x:c>
      <x:c r="N12" s="93"/>
      <x:c r="O12" s="93" t="str">
        <x:v>待定</x:v>
      </x:c>
      <x:c r="P12" s="93"/>
      <x:c r="Q12" s="58"/>
      <x:c r="R12" s="58"/>
      <x:c r="S12" s="58"/>
      <x:c r="T12" s="58"/>
      <x:c r="U12" s="58"/>
      <x:c r="V12" s="58"/>
    </x:row>
    <x:row r="13">
      <x:c r="A13" s="43" t="str">
        <x:v>F009</x:v>
      </x:c>
      <x:c r="B13" s="43" t="str">
        <x:v>训练前</x:v>
      </x:c>
      <x:c r="C13" s="43" t="str">
        <x:v>每日</x:v>
      </x:c>
      <x:c r="D13" s="93" t="str">
        <x:v>睡眠质量</x:v>
      </x:c>
      <x:c r="E13" s="93" t="str">
        <x:v>sleep_quality</x:v>
      </x:c>
      <x:c r="F13" s="93" t="str">
        <x:v>scale</x:v>
      </x:c>
      <x:c r="G13" s="93" t="str">
        <x:v>用户/设备</x:v>
      </x:c>
      <x:c r="H13" s="93" t="str">
        <x:v>是</x:v>
      </x:c>
      <x:c r="I13" s="93" t="str">
        <x:v>P1</x:v>
      </x:c>
      <x:c r="J13" s="93" t="str">
        <x:v>恢复输入</x:v>
      </x:c>
      <x:c r="K13" s="93" t="str">
        <x:v>恢复能力个体差异</x:v>
      </x:c>
      <x:c r="L13" s="93" t="str">
        <x:v>1-5</x:v>
      </x:c>
      <x:c r="M13" s="93" t="str">
        <x:v>待确认</x:v>
      </x:c>
      <x:c r="N13" s="93"/>
      <x:c r="O13" s="93" t="str">
        <x:v>待定</x:v>
      </x:c>
      <x:c r="P13" s="93"/>
      <x:c r="Q13" s="58"/>
      <x:c r="R13" s="58"/>
      <x:c r="S13" s="58"/>
      <x:c r="T13" s="58"/>
      <x:c r="U13" s="58"/>
      <x:c r="V13" s="58"/>
    </x:row>
    <x:row r="14">
      <x:c r="A14" s="43" t="str">
        <x:v>F013</x:v>
      </x:c>
      <x:c r="B14" s="43" t="str">
        <x:v>训练前</x:v>
      </x:c>
      <x:c r="C14" s="43" t="str">
        <x:v>每日</x:v>
      </x:c>
      <x:c r="D14" s="93" t="str">
        <x:v>HRV/恢复状态</x:v>
      </x:c>
      <x:c r="E14" s="93" t="str">
        <x:v>hrv_or_recovery</x:v>
      </x:c>
      <x:c r="F14" s="93" t="str">
        <x:v>number/text</x:v>
      </x:c>
      <x:c r="G14" s="93" t="str">
        <x:v>设备/用户</x:v>
      </x:c>
      <x:c r="H14" s="93" t="str">
        <x:v>是</x:v>
      </x:c>
      <x:c r="I14" s="93" t="str">
        <x:v>P2</x:v>
      </x:c>
      <x:c r="J14" s="93" t="str">
        <x:v>可选恢复输入</x:v>
      </x:c>
      <x:c r="K14" s="93" t="str">
        <x:v>文稿提到HRV</x:v>
      </x:c>
      <x:c r="L14" s="93" t="str">
        <x:v>设备值</x:v>
      </x:c>
      <x:c r="M14" s="93" t="str">
        <x:v>待确认</x:v>
      </x:c>
      <x:c r="N14" s="93"/>
      <x:c r="O14" s="93" t="str">
        <x:v>待定</x:v>
      </x:c>
      <x:c r="P14" s="93"/>
      <x:c r="Q14" s="58"/>
      <x:c r="R14" s="58"/>
      <x:c r="S14" s="58"/>
      <x:c r="T14" s="58"/>
      <x:c r="U14" s="58"/>
      <x:c r="V14" s="58"/>
    </x:row>
    <x:row r="15">
      <x:c r="A15" s="43" t="str">
        <x:v>F014</x:v>
      </x:c>
      <x:c r="B15" s="43" t="str">
        <x:v>训练前</x:v>
      </x:c>
      <x:c r="C15" s="43" t="str">
        <x:v>每日</x:v>
      </x:c>
      <x:c r="D15" s="43" t="str">
        <x:v>疲劳Flag</x:v>
      </x:c>
      <x:c r="E15" s="43" t="str">
        <x:v>fatigue_flag</x:v>
      </x:c>
      <x:c r="F15" s="43" t="str">
        <x:v>enum</x:v>
      </x:c>
      <x:c r="G15" s="43" t="str">
        <x:v>系统+用户</x:v>
      </x:c>
      <x:c r="H15" s="43" t="str">
        <x:v>是</x:v>
      </x:c>
      <x:c r="I15" s="43" t="str">
        <x:v>P0</x:v>
      </x:c>
      <x:c r="J15" s="43" t="str">
        <x:v>决定训练/休息</x:v>
      </x:c>
      <x:c r="K15" s="43" t="str">
        <x:v>疲劳时可插入休息</x:v>
      </x:c>
      <x:c r="L15" s="43" t="str">
        <x:v>正常/可能/明显</x:v>
      </x:c>
      <x:c r="M15" s="93" t="str">
        <x:v>待确认</x:v>
      </x:c>
      <x:c r="N15" s="93"/>
      <x:c r="O15" s="93" t="str">
        <x:v>待定</x:v>
      </x:c>
      <x:c r="P15" s="93"/>
      <x:c r="Q15" s="58"/>
      <x:c r="R15" s="58"/>
      <x:c r="S15" s="58"/>
      <x:c r="T15" s="58"/>
      <x:c r="U15" s="58"/>
      <x:c r="V15" s="58"/>
    </x:row>
    <x:row r="16">
      <x:c r="A16" s="43" t="str">
        <x:v>F015</x:v>
      </x:c>
      <x:c r="B16" s="43" t="str">
        <x:v>训练中</x:v>
      </x:c>
      <x:c r="C16" s="43" t="str">
        <x:v>动作</x:v>
      </x:c>
      <x:c r="D16" s="93" t="str">
        <x:v>动作</x:v>
      </x:c>
      <x:c r="E16" s="93" t="str">
        <x:v>exercise_id</x:v>
      </x:c>
      <x:c r="F16" s="93" t="str">
        <x:v>reference</x:v>
      </x:c>
      <x:c r="G16" s="93" t="str">
        <x:v>系统</x:v>
      </x:c>
      <x:c r="H16" s="93" t="str">
        <x:v>是</x:v>
      </x:c>
      <x:c r="I16" s="93" t="str">
        <x:v>P0</x:v>
      </x:c>
      <x:c r="J16" s="93" t="str">
        <x:v>执行基本单位</x:v>
      </x:c>
      <x:c r="K16" s="93" t="str">
        <x:v>三分化动作结构</x:v>
      </x:c>
      <x:c r="L16" s="93" t="str">
        <x:v>动作库</x:v>
      </x:c>
      <x:c r="M16" s="93" t="str">
        <x:v>待确认</x:v>
      </x:c>
      <x:c r="N16" s="93"/>
      <x:c r="O16" s="93" t="str">
        <x:v>待定</x:v>
      </x:c>
      <x:c r="P16" s="93"/>
      <x:c r="Q16" s="58"/>
      <x:c r="R16" s="58"/>
      <x:c r="S16" s="58"/>
      <x:c r="T16" s="58"/>
      <x:c r="U16" s="58"/>
      <x:c r="V16" s="58"/>
    </x:row>
    <x:row r="17">
      <x:c r="A17" s="43" t="str">
        <x:v>F016</x:v>
      </x:c>
      <x:c r="B17" s="43" t="str">
        <x:v>训练中</x:v>
      </x:c>
      <x:c r="C17" s="43" t="str">
        <x:v>动作</x:v>
      </x:c>
      <x:c r="D17" s="93" t="str">
        <x:v>动作角色</x:v>
      </x:c>
      <x:c r="E17" s="93" t="str">
        <x:v>exercise_role</x:v>
      </x:c>
      <x:c r="F17" s="93" t="str">
        <x:v>enum</x:v>
      </x:c>
      <x:c r="G17" s="93" t="str">
        <x:v>系统</x:v>
      </x:c>
      <x:c r="H17" s="93" t="str">
        <x:v>是</x:v>
      </x:c>
      <x:c r="I17" s="93" t="str">
        <x:v>P0</x:v>
      </x:c>
      <x:c r="J17" s="93" t="str">
        <x:v>决定追重量/力竭策略</x:v>
      </x:c>
      <x:c r="K17" s="93" t="str">
        <x:v>主项与辅助疲劳策略不同</x:v>
      </x:c>
      <x:c r="L17" s="93" t="str">
        <x:v>主项/复合辅助/孤立/功能</x:v>
      </x:c>
      <x:c r="M17" s="93" t="str">
        <x:v>待确认</x:v>
      </x:c>
      <x:c r="N17" s="93"/>
      <x:c r="O17" s="93" t="str">
        <x:v>待定</x:v>
      </x:c>
      <x:c r="P17" s="93"/>
      <x:c r="Q17" s="58"/>
      <x:c r="R17" s="58"/>
      <x:c r="S17" s="58"/>
      <x:c r="T17" s="58"/>
      <x:c r="U17" s="58"/>
      <x:c r="V17" s="58"/>
    </x:row>
    <x:row r="18">
      <x:c r="A18" s="43" t="str">
        <x:v>F017</x:v>
      </x:c>
      <x:c r="B18" s="43" t="str">
        <x:v>训练中</x:v>
      </x:c>
      <x:c r="C18" s="43" t="str">
        <x:v>动作</x:v>
      </x:c>
      <x:c r="D18" s="43" t="str">
        <x:v>目标组数</x:v>
      </x:c>
      <x:c r="E18" s="43" t="str">
        <x:v>target_sets</x:v>
      </x:c>
      <x:c r="F18" s="43" t="str">
        <x:v>number</x:v>
      </x:c>
      <x:c r="G18" s="43" t="str">
        <x:v>系统</x:v>
      </x:c>
      <x:c r="H18" s="43" t="str">
        <x:v>是</x:v>
      </x:c>
      <x:c r="I18" s="43" t="str">
        <x:v>P0</x:v>
      </x:c>
      <x:c r="J18" s="43" t="str">
        <x:v>处方</x:v>
      </x:c>
      <x:c r="K18" s="43" t="str">
        <x:v>多动作有明确组数</x:v>
      </x:c>
      <x:c r="L18" s="43" t="str">
        <x:v>数字</x:v>
      </x:c>
      <x:c r="M18" s="93" t="str">
        <x:v>待确认</x:v>
      </x:c>
      <x:c r="N18" s="93"/>
      <x:c r="O18" s="93" t="str">
        <x:v>待定</x:v>
      </x:c>
      <x:c r="P18" s="93"/>
      <x:c r="Q18" s="58"/>
      <x:c r="R18" s="58"/>
      <x:c r="S18" s="58"/>
      <x:c r="T18" s="58"/>
      <x:c r="U18" s="58"/>
      <x:c r="V18" s="58"/>
    </x:row>
    <x:row r="19">
      <x:c r="A19" s="43" t="str">
        <x:v>F018</x:v>
      </x:c>
      <x:c r="B19" s="43" t="str">
        <x:v>训练中</x:v>
      </x:c>
      <x:c r="C19" s="43" t="str">
        <x:v>每组</x:v>
      </x:c>
      <x:c r="D19" s="43" t="str">
        <x:v>目标次数</x:v>
      </x:c>
      <x:c r="E19" s="43" t="str">
        <x:v>target_reps</x:v>
      </x:c>
      <x:c r="F19" s="43" t="str">
        <x:v>number/text</x:v>
      </x:c>
      <x:c r="G19" s="43" t="str">
        <x:v>系统</x:v>
      </x:c>
      <x:c r="H19" s="43" t="str">
        <x:v>是</x:v>
      </x:c>
      <x:c r="I19" s="43" t="str">
        <x:v>P0</x:v>
      </x:c>
      <x:c r="J19" s="43" t="str">
        <x:v>处方</x:v>
      </x:c>
      <x:c r="K19" s="43" t="str">
        <x:v>15/12/10/8、10+5、10+10等</x:v>
      </x:c>
      <x:c r="L19" s="43" t="str">
        <x:v>数字/复合</x:v>
      </x:c>
      <x:c r="M19" s="93" t="str">
        <x:v>待确认</x:v>
      </x:c>
      <x:c r="N19" s="93"/>
      <x:c r="O19" s="93" t="str">
        <x:v>待定</x:v>
      </x:c>
      <x:c r="P19" s="93"/>
      <x:c r="Q19" s="58"/>
      <x:c r="R19" s="58"/>
      <x:c r="S19" s="58"/>
      <x:c r="T19" s="58"/>
      <x:c r="U19" s="58"/>
      <x:c r="V19" s="58"/>
    </x:row>
    <x:row r="20">
      <x:c r="A20" s="43" t="str">
        <x:v>F019</x:v>
      </x:c>
      <x:c r="B20" s="43" t="str">
        <x:v>训练中</x:v>
      </x:c>
      <x:c r="C20" s="43" t="str">
        <x:v>每组</x:v>
      </x:c>
      <x:c r="D20" s="43" t="str">
        <x:v>目标RPE</x:v>
      </x:c>
      <x:c r="E20" s="43" t="str">
        <x:v>target_rpe</x:v>
      </x:c>
      <x:c r="F20" s="43" t="str">
        <x:v>number</x:v>
      </x:c>
      <x:c r="G20" s="43" t="str">
        <x:v>系统</x:v>
      </x:c>
      <x:c r="H20" s="43" t="str">
        <x:v>是</x:v>
      </x:c>
      <x:c r="I20" s="43" t="str">
        <x:v>P0</x:v>
      </x:c>
      <x:c r="J20" s="43" t="str">
        <x:v>强度控制</x:v>
      </x:c>
      <x:c r="K20" s="43" t="str">
        <x:v>主项大量RPE8</x:v>
      </x:c>
      <x:c r="L20" s="43" t="str">
        <x:v>1-10</x:v>
      </x:c>
      <x:c r="M20" s="93" t="str">
        <x:v>待确认</x:v>
      </x:c>
      <x:c r="N20" s="93"/>
      <x:c r="O20" s="93" t="str">
        <x:v>待定</x:v>
      </x:c>
      <x:c r="P20" s="93"/>
      <x:c r="Q20" s="58"/>
      <x:c r="R20" s="58"/>
      <x:c r="S20" s="58"/>
      <x:c r="T20" s="58"/>
      <x:c r="U20" s="58"/>
      <x:c r="V20" s="58"/>
    </x:row>
    <x:row r="21">
      <x:c r="A21" s="43" t="str">
        <x:v>F020</x:v>
      </x:c>
      <x:c r="B21" s="43" t="str">
        <x:v>训练中</x:v>
      </x:c>
      <x:c r="C21" s="43" t="str">
        <x:v>每组</x:v>
      </x:c>
      <x:c r="D21" s="43" t="str">
        <x:v>目标RIR</x:v>
      </x:c>
      <x:c r="E21" s="43" t="str">
        <x:v>target_rir</x:v>
      </x:c>
      <x:c r="F21" s="43" t="str">
        <x:v>number</x:v>
      </x:c>
      <x:c r="G21" s="43" t="str">
        <x:v>系统</x:v>
      </x:c>
      <x:c r="H21" s="43" t="str">
        <x:v>是</x:v>
      </x:c>
      <x:c r="I21" s="43" t="str">
        <x:v>P1</x:v>
      </x:c>
      <x:c r="J21" s="43" t="str">
        <x:v>余量表达</x:v>
      </x:c>
      <x:c r="K21" s="43" t="str">
        <x:v>2余量≈RPE8</x:v>
      </x:c>
      <x:c r="L21" s="43" t="str">
        <x:v>0-5</x:v>
      </x:c>
      <x:c r="M21" s="93" t="str">
        <x:v>待确认</x:v>
      </x:c>
      <x:c r="N21" s="93"/>
      <x:c r="O21" s="93" t="str">
        <x:v>待定</x:v>
      </x:c>
      <x:c r="P21" s="93"/>
      <x:c r="Q21" s="58"/>
      <x:c r="R21" s="58"/>
      <x:c r="S21" s="58"/>
      <x:c r="T21" s="58"/>
      <x:c r="U21" s="58"/>
      <x:c r="V21" s="58"/>
    </x:row>
    <x:row r="22">
      <x:c r="A22" s="43" t="str">
        <x:v>F021</x:v>
      </x:c>
      <x:c r="B22" s="43" t="str">
        <x:v>训练中</x:v>
      </x:c>
      <x:c r="C22" s="43" t="str">
        <x:v>每组</x:v>
      </x:c>
      <x:c r="D22" s="43" t="str">
        <x:v>目标力竭</x:v>
      </x:c>
      <x:c r="E22" s="43" t="str">
        <x:v>target_failure</x:v>
      </x:c>
      <x:c r="F22" s="43" t="str">
        <x:v>enum</x:v>
      </x:c>
      <x:c r="G22" s="43" t="str">
        <x:v>系统</x:v>
      </x:c>
      <x:c r="H22" s="43" t="str">
        <x:v>是</x:v>
      </x:c>
      <x:c r="I22" s="43" t="str">
        <x:v>P0</x:v>
      </x:c>
      <x:c r="J22" s="43" t="str">
        <x:v>不同动作规则不同</x:v>
      </x:c>
      <x:c r="K22" s="43" t="str">
        <x:v>重复合不力竭；孤立可力竭</x:v>
      </x:c>
      <x:c r="L22" s="43" t="str">
        <x:v>不力竭/接近/力竭</x:v>
      </x:c>
      <x:c r="M22" s="93" t="str">
        <x:v>待确认</x:v>
      </x:c>
      <x:c r="N22" s="93"/>
      <x:c r="O22" s="93" t="str">
        <x:v>待定</x:v>
      </x:c>
      <x:c r="P22" s="93"/>
      <x:c r="Q22" s="58"/>
      <x:c r="R22" s="58"/>
      <x:c r="S22" s="58"/>
      <x:c r="T22" s="58"/>
      <x:c r="U22" s="58"/>
      <x:c r="V22" s="58"/>
    </x:row>
    <x:row r="23">
      <x:c r="A23" s="43" t="str">
        <x:v>F022</x:v>
      </x:c>
      <x:c r="B23" s="43" t="str">
        <x:v>训练中</x:v>
      </x:c>
      <x:c r="C23" s="43" t="str">
        <x:v>每组</x:v>
      </x:c>
      <x:c r="D23" s="43" t="str">
        <x:v>实际重量</x:v>
      </x:c>
      <x:c r="E23" s="43" t="str">
        <x:v>actual_weight</x:v>
      </x:c>
      <x:c r="F23" s="43" t="str">
        <x:v>number</x:v>
      </x:c>
      <x:c r="G23" s="43" t="str">
        <x:v>用户</x:v>
      </x:c>
      <x:c r="H23" s="43" t="str">
        <x:v>是</x:v>
      </x:c>
      <x:c r="I23" s="43" t="str">
        <x:v>P0</x:v>
      </x:c>
      <x:c r="J23" s="43" t="str">
        <x:v>progression核心</x:v>
      </x:c>
      <x:c r="K23" s="43" t="str">
        <x:v>力量变化是直观进步指标</x:v>
      </x:c>
      <x:c r="L23" s="43" t="str">
        <x:v>kg</x:v>
      </x:c>
      <x:c r="M23" s="93" t="str">
        <x:v>待确认</x:v>
      </x:c>
      <x:c r="N23" s="93"/>
      <x:c r="O23" s="93" t="str">
        <x:v>待定</x:v>
      </x:c>
      <x:c r="P23" s="93"/>
      <x:c r="Q23" s="58"/>
      <x:c r="R23" s="58"/>
      <x:c r="S23" s="58"/>
      <x:c r="T23" s="58"/>
      <x:c r="U23" s="58"/>
      <x:c r="V23" s="58"/>
    </x:row>
    <x:row r="24">
      <x:c r="A24" s="43" t="str">
        <x:v>F023</x:v>
      </x:c>
      <x:c r="B24" s="43" t="str">
        <x:v>训练中</x:v>
      </x:c>
      <x:c r="C24" s="43" t="str">
        <x:v>每组</x:v>
      </x:c>
      <x:c r="D24" s="43" t="str">
        <x:v>实际次数</x:v>
      </x:c>
      <x:c r="E24" s="43" t="str">
        <x:v>actual_reps</x:v>
      </x:c>
      <x:c r="F24" s="43" t="str">
        <x:v>number</x:v>
      </x:c>
      <x:c r="G24" s="43" t="str">
        <x:v>用户</x:v>
      </x:c>
      <x:c r="H24" s="43" t="str">
        <x:v>是</x:v>
      </x:c>
      <x:c r="I24" s="43" t="str">
        <x:v>P0</x:v>
      </x:c>
      <x:c r="J24" s="43" t="str">
        <x:v>判断完成处方</x:v>
      </x:c>
      <x:c r="K24" s="43" t="str">
        <x:v>RM动态，重量可变但次数目标需完成</x:v>
      </x:c>
      <x:c r="L24" s="43" t="str">
        <x:v>次</x:v>
      </x:c>
      <x:c r="M24" s="93" t="str">
        <x:v>待确认</x:v>
      </x:c>
      <x:c r="N24" s="93"/>
      <x:c r="O24" s="93" t="str">
        <x:v>待定</x:v>
      </x:c>
      <x:c r="P24" s="93"/>
      <x:c r="Q24" s="58"/>
      <x:c r="R24" s="58"/>
      <x:c r="S24" s="58"/>
      <x:c r="T24" s="58"/>
      <x:c r="U24" s="58"/>
      <x:c r="V24" s="58"/>
    </x:row>
    <x:row r="25">
      <x:c r="A25" s="43" t="str">
        <x:v>F024</x:v>
      </x:c>
      <x:c r="B25" s="43" t="str">
        <x:v>训练中</x:v>
      </x:c>
      <x:c r="C25" s="43" t="str">
        <x:v>每组</x:v>
      </x:c>
      <x:c r="D25" s="43" t="str">
        <x:v>实际RPE</x:v>
      </x:c>
      <x:c r="E25" s="43" t="str">
        <x:v>actual_rpe</x:v>
      </x:c>
      <x:c r="F25" s="43" t="str">
        <x:v>number</x:v>
      </x:c>
      <x:c r="G25" s="43" t="str">
        <x:v>用户</x:v>
      </x:c>
      <x:c r="H25" s="43" t="str">
        <x:v>是</x:v>
      </x:c>
      <x:c r="I25" s="43" t="str">
        <x:v>P0</x:v>
      </x:c>
      <x:c r="J25" s="43" t="str">
        <x:v>判断是否超目标</x:v>
      </x:c>
      <x:c r="K25" s="43" t="str">
        <x:v>RPE贯穿主项递进</x:v>
      </x:c>
      <x:c r="L25" s="43" t="str">
        <x:v>1-10</x:v>
      </x:c>
      <x:c r="M25" s="93" t="str">
        <x:v>待确认</x:v>
      </x:c>
      <x:c r="N25" s="93"/>
      <x:c r="O25" s="93" t="str">
        <x:v>待定</x:v>
      </x:c>
      <x:c r="P25" s="93"/>
      <x:c r="Q25" s="58"/>
      <x:c r="R25" s="58"/>
      <x:c r="S25" s="58"/>
      <x:c r="T25" s="58"/>
      <x:c r="U25" s="58"/>
      <x:c r="V25" s="58"/>
    </x:row>
    <x:row r="26">
      <x:c r="A26" s="43" t="str">
        <x:v>F025</x:v>
      </x:c>
      <x:c r="B26" s="43" t="str">
        <x:v>训练中</x:v>
      </x:c>
      <x:c r="C26" s="43" t="str">
        <x:v>每组</x:v>
      </x:c>
      <x:c r="D26" s="93" t="str">
        <x:v>是否力竭</x:v>
      </x:c>
      <x:c r="E26" s="93" t="str">
        <x:v>reached_failure</x:v>
      </x:c>
      <x:c r="F26" s="93" t="str">
        <x:v>bool</x:v>
      </x:c>
      <x:c r="G26" s="93" t="str">
        <x:v>用户</x:v>
      </x:c>
      <x:c r="H26" s="93" t="str">
        <x:v>是</x:v>
      </x:c>
      <x:c r="I26" s="93" t="str">
        <x:v>P1</x:v>
      </x:c>
      <x:c r="J26" s="93" t="str">
        <x:v>核对方法执行</x:v>
      </x:c>
      <x:c r="K26" s="93" t="str">
        <x:v>动作有不同力竭规则</x:v>
      </x:c>
      <x:c r="L26" s="93" t="str">
        <x:v>是/否</x:v>
      </x:c>
      <x:c r="M26" s="93" t="str">
        <x:v>待确认</x:v>
      </x:c>
      <x:c r="N26" s="93"/>
      <x:c r="O26" s="93" t="str">
        <x:v>待定</x:v>
      </x:c>
      <x:c r="P26" s="93"/>
      <x:c r="Q26" s="58"/>
      <x:c r="R26" s="58"/>
      <x:c r="S26" s="58"/>
      <x:c r="T26" s="58"/>
      <x:c r="U26" s="58"/>
      <x:c r="V26" s="58"/>
    </x:row>
    <x:row r="27">
      <x:c r="A27" s="43" t="str">
        <x:v>F026</x:v>
      </x:c>
      <x:c r="B27" s="43" t="str">
        <x:v>训练中</x:v>
      </x:c>
      <x:c r="C27" s="43" t="str">
        <x:v>每组</x:v>
      </x:c>
      <x:c r="D27" s="93" t="str">
        <x:v>组间歇</x:v>
      </x:c>
      <x:c r="E27" s="93" t="str">
        <x:v>rest_seconds</x:v>
      </x:c>
      <x:c r="F27" s="93" t="str">
        <x:v>timer</x:v>
      </x:c>
      <x:c r="G27" s="93" t="str">
        <x:v>系统计时</x:v>
      </x:c>
      <x:c r="H27" s="93" t="str">
        <x:v>是</x:v>
      </x:c>
      <x:c r="I27" s="93" t="str">
        <x:v>P1</x:v>
      </x:c>
      <x:c r="J27" s="93" t="str">
        <x:v>休息服务于完成计划</x:v>
      </x:c>
      <x:c r="K27" s="93" t="str">
        <x:v>5次组3~8分钟；12次约30秒~3分钟；小强度约30秒</x:v>
      </x:c>
      <x:c r="L27" s="93" t="str">
        <x:v>秒</x:v>
      </x:c>
      <x:c r="M27" s="93" t="str">
        <x:v>待确认</x:v>
      </x:c>
      <x:c r="N27" s="93"/>
      <x:c r="O27" s="93" t="str">
        <x:v>待定</x:v>
      </x:c>
      <x:c r="P27" s="93"/>
      <x:c r="Q27" s="58"/>
      <x:c r="R27" s="58"/>
      <x:c r="S27" s="58"/>
      <x:c r="T27" s="58"/>
      <x:c r="U27" s="58"/>
      <x:c r="V27" s="58"/>
    </x:row>
    <x:row r="28">
      <x:c r="A28" s="43" t="str">
        <x:v>F027</x:v>
      </x:c>
      <x:c r="B28" s="43" t="str">
        <x:v>训练中</x:v>
      </x:c>
      <x:c r="C28" s="43" t="str">
        <x:v>每组</x:v>
      </x:c>
      <x:c r="D28" s="93" t="str">
        <x:v>动作质量</x:v>
      </x:c>
      <x:c r="E28" s="93" t="str">
        <x:v>form_quality</x:v>
      </x:c>
      <x:c r="F28" s="93" t="str">
        <x:v>enum</x:v>
      </x:c>
      <x:c r="G28" s="93" t="str">
        <x:v>用户/AI</x:v>
      </x:c>
      <x:c r="H28" s="93" t="str">
        <x:v>是</x:v>
      </x:c>
      <x:c r="I28" s="93" t="str">
        <x:v>P0</x:v>
      </x:c>
      <x:c r="J28" s="93" t="str">
        <x:v>不能用变形换成绩</x:v>
      </x:c>
      <x:c r="K28" s="93" t="str">
        <x:v>重重量仍稳定才叫质量</x:v>
      </x:c>
      <x:c r="L28" s="93" t="str">
        <x:v>好/一般/明显变形</x:v>
      </x:c>
      <x:c r="M28" s="93" t="str">
        <x:v>待确认</x:v>
      </x:c>
      <x:c r="N28" s="93"/>
      <x:c r="O28" s="93" t="str">
        <x:v>待定</x:v>
      </x:c>
      <x:c r="P28" s="93"/>
      <x:c r="Q28" s="58"/>
      <x:c r="R28" s="58"/>
      <x:c r="S28" s="58"/>
      <x:c r="T28" s="58"/>
      <x:c r="U28" s="58"/>
      <x:c r="V28" s="58"/>
    </x:row>
    <x:row r="29">
      <x:c r="A29" s="43" t="str">
        <x:v>F028</x:v>
      </x:c>
      <x:c r="B29" s="43" t="str">
        <x:v>训练中</x:v>
      </x:c>
      <x:c r="C29" s="43" t="str">
        <x:v>每组</x:v>
      </x:c>
      <x:c r="D29" s="93" t="str">
        <x:v>目标肌感受</x:v>
      </x:c>
      <x:c r="E29" s="93" t="str">
        <x:v>target_muscle_feel</x:v>
      </x:c>
      <x:c r="F29" s="93" t="str">
        <x:v>scale</x:v>
      </x:c>
      <x:c r="G29" s="93" t="str">
        <x:v>用户</x:v>
      </x:c>
      <x:c r="H29" s="93" t="str">
        <x:v>是</x:v>
      </x:c>
      <x:c r="I29" s="93" t="str">
        <x:v>P1</x:v>
      </x:c>
      <x:c r="J29" s="93" t="str">
        <x:v>背部动作强调募集与张力</x:v>
      </x:c>
      <x:c r="K29" s="93" t="str">
        <x:v>感觉差时应调整</x:v>
      </x:c>
      <x:c r="L29" s="93" t="str">
        <x:v>1-5</x:v>
      </x:c>
      <x:c r="M29" s="93" t="str">
        <x:v>待确认</x:v>
      </x:c>
      <x:c r="N29" s="93"/>
      <x:c r="O29" s="93" t="str">
        <x:v>待定</x:v>
      </x:c>
      <x:c r="P29" s="93"/>
      <x:c r="Q29" s="58"/>
      <x:c r="R29" s="58"/>
      <x:c r="S29" s="58"/>
      <x:c r="T29" s="58"/>
      <x:c r="U29" s="58"/>
      <x:c r="V29" s="58"/>
    </x:row>
    <x:row r="30">
      <x:c r="A30" s="43" t="str">
        <x:v>F029</x:v>
      </x:c>
      <x:c r="B30" s="43" t="str">
        <x:v>训练中</x:v>
      </x:c>
      <x:c r="C30" s="43" t="str">
        <x:v>每组</x:v>
      </x:c>
      <x:c r="D30" s="43" t="str">
        <x:v>疼痛/不适</x:v>
      </x:c>
      <x:c r="E30" s="43" t="str">
        <x:v>pain_level</x:v>
      </x:c>
      <x:c r="F30" s="43" t="str">
        <x:v>scale</x:v>
      </x:c>
      <x:c r="G30" s="43" t="str">
        <x:v>用户</x:v>
      </x:c>
      <x:c r="H30" s="43" t="str">
        <x:v>是</x:v>
      </x:c>
      <x:c r="I30" s="43" t="str">
        <x:v>P0</x:v>
      </x:c>
      <x:c r="J30" s="43" t="str">
        <x:v>触发ROM/动作调整</x:v>
      </x:c>
      <x:c r="K30" s="43" t="str">
        <x:v>肩部不适/活动度受限重要</x:v>
      </x:c>
      <x:c r="L30" s="43" t="str">
        <x:v>0-10</x:v>
      </x:c>
      <x:c r="M30" s="93" t="str">
        <x:v>待确认</x:v>
      </x:c>
      <x:c r="N30" s="93"/>
      <x:c r="O30" s="93" t="str">
        <x:v>待定</x:v>
      </x:c>
      <x:c r="P30" s="93"/>
      <x:c r="Q30" s="58"/>
      <x:c r="R30" s="58"/>
      <x:c r="S30" s="58"/>
      <x:c r="T30" s="58"/>
      <x:c r="U30" s="58"/>
      <x:c r="V30" s="58"/>
    </x:row>
    <x:row r="31">
      <x:c r="A31" s="43" t="str">
        <x:v>F030</x:v>
      </x:c>
      <x:c r="B31" s="43" t="str">
        <x:v>训练中</x:v>
      </x:c>
      <x:c r="C31" s="43" t="str">
        <x:v>每组</x:v>
      </x:c>
      <x:c r="D31" s="93" t="str">
        <x:v>疼痛部位</x:v>
      </x:c>
      <x:c r="E31" s="93" t="str">
        <x:v>pain_location</x:v>
      </x:c>
      <x:c r="F31" s="93" t="str">
        <x:v>multi</x:v>
      </x:c>
      <x:c r="G31" s="93" t="str">
        <x:v>用户</x:v>
      </x:c>
      <x:c r="H31" s="93" t="str">
        <x:v>是</x:v>
      </x:c>
      <x:c r="I31" s="93" t="str">
        <x:v>P0</x:v>
      </x:c>
      <x:c r="J31" s="93" t="str">
        <x:v>支持退阶/替代</x:v>
      </x:c>
      <x:c r="K31" s="93" t="str">
        <x:v>动作可筛查身体问题</x:v>
      </x:c>
      <x:c r="L31" s="93" t="str">
        <x:v>部位</x:v>
      </x:c>
      <x:c r="M31" s="93" t="str">
        <x:v>待确认</x:v>
      </x:c>
      <x:c r="N31" s="93"/>
      <x:c r="O31" s="93" t="str">
        <x:v>待定</x:v>
      </x:c>
      <x:c r="P31" s="93"/>
      <x:c r="Q31" s="58"/>
      <x:c r="R31" s="58"/>
      <x:c r="S31" s="58"/>
      <x:c r="T31" s="58"/>
      <x:c r="U31" s="58"/>
      <x:c r="V31" s="58"/>
    </x:row>
    <x:row r="32">
      <x:c r="A32" s="43" t="str">
        <x:v>F031</x:v>
      </x:c>
      <x:c r="B32" s="43" t="str">
        <x:v>训练中</x:v>
      </x:c>
      <x:c r="C32" s="43" t="str">
        <x:v>动作</x:v>
      </x:c>
      <x:c r="D32" s="93" t="str">
        <x:v>使用退阶</x:v>
      </x:c>
      <x:c r="E32" s="93" t="str">
        <x:v>used_regression</x:v>
      </x:c>
      <x:c r="F32" s="93" t="str">
        <x:v>bool</x:v>
      </x:c>
      <x:c r="G32" s="93" t="str">
        <x:v>用户/系统</x:v>
      </x:c>
      <x:c r="H32" s="93" t="str">
        <x:v>是</x:v>
      </x:c>
      <x:c r="I32" s="93" t="str">
        <x:v>P1</x:v>
      </x:c>
      <x:c r="J32" s="93" t="str">
        <x:v>双杠等需退阶</x:v>
      </x:c>
      <x:c r="K32" s="93" t="str">
        <x:v>文稿明确双杠退阶</x:v>
      </x:c>
      <x:c r="L32" s="93" t="str">
        <x:v>是/否</x:v>
      </x:c>
      <x:c r="M32" s="93" t="str">
        <x:v>待确认</x:v>
      </x:c>
      <x:c r="N32" s="93"/>
      <x:c r="O32" s="93" t="str">
        <x:v>待定</x:v>
      </x:c>
      <x:c r="P32" s="93"/>
      <x:c r="Q32" s="58"/>
      <x:c r="R32" s="58"/>
      <x:c r="S32" s="58"/>
      <x:c r="T32" s="58"/>
      <x:c r="U32" s="58"/>
      <x:c r="V32" s="58"/>
    </x:row>
    <x:row r="33">
      <x:c r="A33" s="43" t="str">
        <x:v>F032</x:v>
      </x:c>
      <x:c r="B33" s="43" t="str">
        <x:v>训练中</x:v>
      </x:c>
      <x:c r="C33" s="43" t="str">
        <x:v>动作</x:v>
      </x:c>
      <x:c r="D33" s="93" t="str">
        <x:v>替代动作</x:v>
      </x:c>
      <x:c r="E33" s="93" t="str">
        <x:v>substitution</x:v>
      </x:c>
      <x:c r="F33" s="93" t="str">
        <x:v>reference</x:v>
      </x:c>
      <x:c r="G33" s="93" t="str">
        <x:v>系统/用户</x:v>
      </x:c>
      <x:c r="H33" s="93" t="str">
        <x:v>是</x:v>
      </x:c>
      <x:c r="I33" s="93" t="str">
        <x:v>P1</x:v>
      </x:c>
      <x:c r="J33" s="93" t="str">
        <x:v>器械/不适条件下使用</x:v>
      </x:c>
      <x:c r="K33" s="93" t="str">
        <x:v>海豹/滑轮；器械/哑铃</x:v>
      </x:c>
      <x:c r="L33" s="93" t="str">
        <x:v>动作库</x:v>
      </x:c>
      <x:c r="M33" s="93" t="str">
        <x:v>待确认</x:v>
      </x:c>
      <x:c r="N33" s="93"/>
      <x:c r="O33" s="93" t="str">
        <x:v>待定</x:v>
      </x:c>
      <x:c r="P33" s="93"/>
      <x:c r="Q33" s="58"/>
      <x:c r="R33" s="58"/>
      <x:c r="S33" s="58"/>
      <x:c r="T33" s="58"/>
      <x:c r="U33" s="58"/>
      <x:c r="V33" s="58"/>
    </x:row>
    <x:row r="34">
      <x:c r="A34" s="43" t="str">
        <x:v>F033</x:v>
      </x:c>
      <x:c r="B34" s="43" t="str">
        <x:v>训练中</x:v>
      </x:c>
      <x:c r="C34" s="43" t="str">
        <x:v>动作</x:v>
      </x:c>
      <x:c r="D34" s="93" t="str">
        <x:v>视频示范</x:v>
      </x:c>
      <x:c r="E34" s="93" t="str">
        <x:v>media_reference</x:v>
      </x:c>
      <x:c r="F34" s="93" t="str">
        <x:v>reference</x:v>
      </x:c>
      <x:c r="G34" s="93" t="str">
        <x:v>系统</x:v>
      </x:c>
      <x:c r="H34" s="93" t="str">
        <x:v>否</x:v>
      </x:c>
      <x:c r="I34" s="93" t="str">
        <x:v>P1</x:v>
      </x:c>
      <x:c r="J34" s="93" t="str">
        <x:v>解决空间cue</x:v>
      </x:c>
      <x:c r="K34" s="93" t="str">
        <x:v>大量“这个角度/到这里”</x:v>
      </x:c>
      <x:c r="L34" s="93" t="str">
        <x:v>视频片段</x:v>
      </x:c>
      <x:c r="M34" s="93" t="str">
        <x:v>待确认</x:v>
      </x:c>
      <x:c r="N34" s="93"/>
      <x:c r="O34" s="93" t="str">
        <x:v>待定</x:v>
      </x:c>
      <x:c r="P34" s="93"/>
      <x:c r="Q34" s="58"/>
      <x:c r="R34" s="58"/>
      <x:c r="S34" s="58"/>
      <x:c r="T34" s="58"/>
      <x:c r="U34" s="58"/>
      <x:c r="V34" s="58"/>
    </x:row>
    <x:row r="35">
      <x:c r="A35" s="43" t="str">
        <x:v>F034</x:v>
      </x:c>
      <x:c r="B35" s="43" t="str">
        <x:v>训练后</x:v>
      </x:c>
      <x:c r="C35" s="43" t="str">
        <x:v>Session</x:v>
      </x:c>
      <x:c r="D35" s="93" t="str">
        <x:v>训练总时长</x:v>
      </x:c>
      <x:c r="E35" s="93" t="str">
        <x:v>duration_minutes</x:v>
      </x:c>
      <x:c r="F35" s="93" t="str">
        <x:v>formula</x:v>
      </x:c>
      <x:c r="G35" s="93" t="str">
        <x:v>系统</x:v>
      </x:c>
      <x:c r="H35" s="93" t="str">
        <x:v>否</x:v>
      </x:c>
      <x:c r="I35" s="93" t="str">
        <x:v>P2</x:v>
      </x:c>
      <x:c r="J35" s="93" t="str">
        <x:v>趋势与能力参考</x:v>
      </x:c>
      <x:c r="K35" s="93" t="str">
        <x:v>休息服务计划，总时长不是硬目标</x:v>
      </x:c>
      <x:c r="L35" s="93" t="str">
        <x:v>分钟</x:v>
      </x:c>
      <x:c r="M35" s="93" t="str">
        <x:v>待确认</x:v>
      </x:c>
      <x:c r="N35" s="93"/>
      <x:c r="O35" s="93" t="str">
        <x:v>待定</x:v>
      </x:c>
      <x:c r="P35" s="93"/>
      <x:c r="Q35" s="58"/>
      <x:c r="R35" s="58"/>
      <x:c r="S35" s="58"/>
      <x:c r="T35" s="58"/>
      <x:c r="U35" s="58"/>
      <x:c r="V35" s="58"/>
    </x:row>
    <x:row r="36">
      <x:c r="A36" s="43" t="str">
        <x:v>F035</x:v>
      </x:c>
      <x:c r="B36" s="43" t="str">
        <x:v>训练后</x:v>
      </x:c>
      <x:c r="C36" s="43" t="str">
        <x:v>Session</x:v>
      </x:c>
      <x:c r="D36" s="43" t="str">
        <x:v>Session完成度</x:v>
      </x:c>
      <x:c r="E36" s="43" t="str">
        <x:v>completion_pct</x:v>
      </x:c>
      <x:c r="F36" s="43" t="str">
        <x:v>formula</x:v>
      </x:c>
      <x:c r="G36" s="43" t="str">
        <x:v>系统</x:v>
      </x:c>
      <x:c r="H36" s="43" t="str">
        <x:v>是</x:v>
      </x:c>
      <x:c r="I36" s="43" t="str">
        <x:v>P1</x:v>
      </x:c>
      <x:c r="J36" s="43" t="str">
        <x:v>是否完成方法处方</x:v>
      </x:c>
      <x:c r="K36" s="43" t="str">
        <x:v>执行计划优先</x:v>
      </x:c>
      <x:c r="L36" s="43" t="str">
        <x:v>%</x:v>
      </x:c>
      <x:c r="M36" s="93" t="str">
        <x:v>待确认</x:v>
      </x:c>
      <x:c r="N36" s="93"/>
      <x:c r="O36" s="93" t="str">
        <x:v>待定</x:v>
      </x:c>
      <x:c r="P36" s="93"/>
      <x:c r="Q36" s="58"/>
      <x:c r="R36" s="58"/>
      <x:c r="S36" s="58"/>
      <x:c r="T36" s="58"/>
      <x:c r="U36" s="58"/>
      <x:c r="V36" s="58"/>
    </x:row>
    <x:row r="37">
      <x:c r="A37" s="43" t="str">
        <x:v>F036</x:v>
      </x:c>
      <x:c r="B37" s="43" t="str">
        <x:v>训练后</x:v>
      </x:c>
      <x:c r="C37" s="43" t="str">
        <x:v>Session</x:v>
      </x:c>
      <x:c r="D37" s="43" t="str">
        <x:v>整体RPE/疲劳</x:v>
      </x:c>
      <x:c r="E37" s="43" t="str">
        <x:v>session_rpe</x:v>
      </x:c>
      <x:c r="F37" s="43" t="str">
        <x:v>number</x:v>
      </x:c>
      <x:c r="G37" s="43" t="str">
        <x:v>用户</x:v>
      </x:c>
      <x:c r="H37" s="43" t="str">
        <x:v>是</x:v>
      </x:c>
      <x:c r="I37" s="43" t="str">
        <x:v>P1</x:v>
      </x:c>
      <x:c r="J37" s="43" t="str">
        <x:v>补充逐组数据</x:v>
      </x:c>
      <x:c r="K37" s="43" t="str">
        <x:v>恢复与频率个体化</x:v>
      </x:c>
      <x:c r="L37" s="43" t="str">
        <x:v>1-10</x:v>
      </x:c>
      <x:c r="M37" s="93" t="str">
        <x:v>待确认</x:v>
      </x:c>
      <x:c r="N37" s="93"/>
      <x:c r="O37" s="93" t="str">
        <x:v>待定</x:v>
      </x:c>
      <x:c r="P37" s="93"/>
      <x:c r="Q37" s="58"/>
      <x:c r="R37" s="58"/>
      <x:c r="S37" s="58"/>
      <x:c r="T37" s="58"/>
      <x:c r="U37" s="58"/>
      <x:c r="V37" s="58"/>
    </x:row>
    <x:row r="38">
      <x:c r="A38" s="43" t="str">
        <x:v>F037</x:v>
      </x:c>
      <x:c r="B38" s="43" t="str">
        <x:v>训练后</x:v>
      </x:c>
      <x:c r="C38" s="43" t="str">
        <x:v>Session</x:v>
      </x:c>
      <x:c r="D38" s="43" t="str">
        <x:v>关节/身体感受</x:v>
      </x:c>
      <x:c r="E38" s="43" t="str">
        <x:v>post_body_status</x:v>
      </x:c>
      <x:c r="F38" s="43" t="str">
        <x:v>scale/text</x:v>
      </x:c>
      <x:c r="G38" s="43" t="str">
        <x:v>用户</x:v>
      </x:c>
      <x:c r="H38" s="43" t="str">
        <x:v>是</x:v>
      </x:c>
      <x:c r="I38" s="43" t="str">
        <x:v>P1</x:v>
      </x:c>
      <x:c r="J38" s="43" t="str">
        <x:v>识别累积不适</x:v>
      </x:c>
      <x:c r="K38" s="43" t="str">
        <x:v>计划目标包括身体舒服/关节能力</x:v>
      </x:c>
      <x:c r="L38" s="43" t="str">
        <x:v>1-5+文本</x:v>
      </x:c>
      <x:c r="M38" s="93" t="str">
        <x:v>待确认</x:v>
      </x:c>
      <x:c r="N38" s="93"/>
      <x:c r="O38" s="93" t="str">
        <x:v>待定</x:v>
      </x:c>
      <x:c r="P38" s="93"/>
      <x:c r="Q38" s="58"/>
      <x:c r="R38" s="58"/>
      <x:c r="S38" s="58"/>
      <x:c r="T38" s="58"/>
      <x:c r="U38" s="58"/>
      <x:c r="V38" s="58"/>
    </x:row>
    <x:row r="39">
      <x:c r="A39" s="43" t="str">
        <x:v>F038</x:v>
      </x:c>
      <x:c r="B39" s="43" t="str">
        <x:v>训练后</x:v>
      </x:c>
      <x:c r="C39" s="43" t="str">
        <x:v>动作</x:v>
      </x:c>
      <x:c r="D39" s="43" t="str">
        <x:v>满足升级条件</x:v>
      </x:c>
      <x:c r="E39" s="43" t="str">
        <x:v>progression_ready</x:v>
      </x:c>
      <x:c r="F39" s="43" t="str">
        <x:v>decision</x:v>
      </x:c>
      <x:c r="G39" s="43" t="str">
        <x:v>系统</x:v>
      </x:c>
      <x:c r="H39" s="43" t="str">
        <x:v>是</x:v>
      </x:c>
      <x:c r="I39" s="43" t="str">
        <x:v>P0</x:v>
      </x:c>
      <x:c r="J39" s="43" t="str">
        <x:v>Method-first核心</x:v>
      </x:c>
      <x:c r="K39" s="43" t="str">
        <x:v>完成目标+RPE+动作质量</x:v>
      </x:c>
      <x:c r="L39" s="43" t="str">
        <x:v>是/否/观察</x:v>
      </x:c>
      <x:c r="M39" s="93" t="str">
        <x:v>待确认</x:v>
      </x:c>
      <x:c r="N39" s="93"/>
      <x:c r="O39" s="93" t="str">
        <x:v>待定</x:v>
      </x:c>
      <x:c r="P39" s="93"/>
      <x:c r="Q39" s="58"/>
      <x:c r="R39" s="58"/>
      <x:c r="S39" s="58"/>
      <x:c r="T39" s="58"/>
      <x:c r="U39" s="58"/>
      <x:c r="V39" s="58"/>
    </x:row>
    <x:row r="40">
      <x:c r="A40" s="43" t="str">
        <x:v>F039</x:v>
      </x:c>
      <x:c r="B40" s="43" t="str">
        <x:v>训练后</x:v>
      </x:c>
      <x:c r="C40" s="43" t="str">
        <x:v>动作</x:v>
      </x:c>
      <x:c r="D40" s="93" t="str">
        <x:v>下一次建议</x:v>
      </x:c>
      <x:c r="E40" s="93" t="str">
        <x:v>next_action</x:v>
      </x:c>
      <x:c r="F40" s="93" t="str">
        <x:v>enum</x:v>
      </x:c>
      <x:c r="G40" s="93" t="str">
        <x:v>系统</x:v>
      </x:c>
      <x:c r="H40" s="93" t="str">
        <x:v>是</x:v>
      </x:c>
      <x:c r="I40" s="93" t="str">
        <x:v>P0</x:v>
      </x:c>
      <x:c r="J40" s="93" t="str">
        <x:v>tracking转行动</x:v>
      </x:c>
      <x:c r="K40" s="93" t="str">
        <x:v>维持/加重/加组/改次数/退阶/替代</x:v>
      </x:c>
      <x:c r="L40" s="93" t="str">
        <x:v>枚举</x:v>
      </x:c>
      <x:c r="M40" s="93" t="str">
        <x:v>待确认</x:v>
      </x:c>
      <x:c r="N40" s="93"/>
      <x:c r="O40" s="93" t="str">
        <x:v>待定</x:v>
      </x:c>
      <x:c r="P40" s="93"/>
      <x:c r="Q40" s="58"/>
      <x:c r="R40" s="58"/>
      <x:c r="S40" s="58"/>
      <x:c r="T40" s="58"/>
      <x:c r="U40" s="58"/>
      <x:c r="V40" s="58"/>
    </x:row>
    <x:row r="41">
      <x:c r="A41" s="43" t="str">
        <x:v>F040</x:v>
      </x:c>
      <x:c r="B41" s="43" t="str">
        <x:v>周期</x:v>
      </x:c>
      <x:c r="C41" s="43" t="str">
        <x:v>循环</x:v>
      </x:c>
      <x:c r="D41" s="93" t="str">
        <x:v>当前progression阶段</x:v>
      </x:c>
      <x:c r="E41" s="93" t="str">
        <x:v>progression_stage</x:v>
      </x:c>
      <x:c r="F41" s="93" t="str">
        <x:v>reference</x:v>
      </x:c>
      <x:c r="G41" s="93" t="str">
        <x:v>系统</x:v>
      </x:c>
      <x:c r="H41" s="93" t="str">
        <x:v>是</x:v>
      </x:c>
      <x:c r="I41" s="93" t="str">
        <x:v>P0</x:v>
      </x:c>
      <x:c r="J41" s="93" t="str">
        <x:v>追踪状态机</x:v>
      </x:c>
      <x:c r="K41" s="93" t="str">
        <x:v>12/10/8→8→6→5</x:v>
      </x:c>
      <x:c r="L41" s="93" t="str">
        <x:v>阶段ID</x:v>
      </x:c>
      <x:c r="M41" s="93" t="str">
        <x:v>待确认</x:v>
      </x:c>
      <x:c r="N41" s="93"/>
      <x:c r="O41" s="93" t="str">
        <x:v>待定</x:v>
      </x:c>
      <x:c r="P41" s="93"/>
      <x:c r="Q41" s="58"/>
      <x:c r="R41" s="58"/>
      <x:c r="S41" s="58"/>
      <x:c r="T41" s="58"/>
      <x:c r="U41" s="58"/>
      <x:c r="V41" s="58"/>
    </x:row>
    <x:row r="42">
      <x:c r="A42" s="43" t="str">
        <x:v>F041</x:v>
      </x:c>
      <x:c r="B42" s="43" t="str">
        <x:v>周期</x:v>
      </x:c>
      <x:c r="C42" s="43" t="str">
        <x:v>循环</x:v>
      </x:c>
      <x:c r="D42" s="43" t="str">
        <x:v>连续成功次数</x:v>
      </x:c>
      <x:c r="E42" s="43" t="str">
        <x:v>successful_sessions</x:v>
      </x:c>
      <x:c r="F42" s="43" t="str">
        <x:v>number</x:v>
      </x:c>
      <x:c r="G42" s="43" t="str">
        <x:v>系统</x:v>
      </x:c>
      <x:c r="H42" s="43" t="str">
        <x:v>是</x:v>
      </x:c>
      <x:c r="I42" s="43" t="str">
        <x:v>P1</x:v>
      </x:c>
      <x:c r="J42" s="43" t="str">
        <x:v>避免偶然升级</x:v>
      </x:c>
      <x:c r="K42" s="43" t="str">
        <x:v>方法强调熟练/适应过程</x:v>
      </x:c>
      <x:c r="L42" s="43" t="str">
        <x:v>次数</x:v>
      </x:c>
      <x:c r="M42" s="93" t="str">
        <x:v>待确认</x:v>
      </x:c>
      <x:c r="N42" s="93"/>
      <x:c r="O42" s="93" t="str">
        <x:v>待定</x:v>
      </x:c>
      <x:c r="P42" s="93"/>
      <x:c r="Q42" s="58"/>
      <x:c r="R42" s="58"/>
      <x:c r="S42" s="58"/>
      <x:c r="T42" s="58"/>
      <x:c r="U42" s="58"/>
      <x:c r="V42" s="58"/>
    </x:row>
    <x:row r="43">
      <x:c r="A43" s="43" t="str">
        <x:v>F042</x:v>
      </x:c>
      <x:c r="B43" s="43" t="str">
        <x:v>周期</x:v>
      </x:c>
      <x:c r="C43" s="43" t="str">
        <x:v>约1月</x:v>
      </x:c>
      <x:c r="D43" s="43" t="str">
        <x:v>需要动作微调</x:v>
      </x:c>
      <x:c r="E43" s="43" t="str">
        <x:v>adjustment_needed</x:v>
      </x:c>
      <x:c r="F43" s="43" t="str">
        <x:v>bool</x:v>
      </x:c>
      <x:c r="G43" s="43" t="str">
        <x:v>系统+用户</x:v>
      </x:c>
      <x:c r="H43" s="43" t="str">
        <x:v>是</x:v>
      </x:c>
      <x:c r="I43" s="43" t="str">
        <x:v>P1</x:v>
      </x:c>
      <x:c r="J43" s="43" t="str">
        <x:v>一个月后可调整</x:v>
      </x:c>
      <x:c r="K43" s="43" t="str">
        <x:v>疲劳/别扭/刺激需求变化</x:v>
      </x:c>
      <x:c r="L43" s="43" t="str">
        <x:v>是/否</x:v>
      </x:c>
      <x:c r="M43" s="93" t="str">
        <x:v>待确认</x:v>
      </x:c>
      <x:c r="N43" s="93"/>
      <x:c r="O43" s="93" t="str">
        <x:v>待定</x:v>
      </x:c>
      <x:c r="P43" s="93"/>
      <x:c r="Q43" s="58"/>
      <x:c r="R43" s="58"/>
      <x:c r="S43" s="58"/>
      <x:c r="T43" s="58"/>
      <x:c r="U43" s="58"/>
      <x:c r="V43" s="58"/>
    </x:row>
    <x:row r="44">
      <x:c r="A44" s="43" t="str">
        <x:v>F043</x:v>
      </x:c>
      <x:c r="B44" s="43" t="str">
        <x:v>周期</x:v>
      </x:c>
      <x:c r="C44" s="43" t="str">
        <x:v>约1月</x:v>
      </x:c>
      <x:c r="D44" s="43" t="str">
        <x:v>微调原因</x:v>
      </x:c>
      <x:c r="E44" s="43" t="str">
        <x:v>adjustment_reason</x:v>
      </x:c>
      <x:c r="F44" s="43" t="str">
        <x:v>enum/text</x:v>
      </x:c>
      <x:c r="G44" s="43" t="str">
        <x:v>用户/系统</x:v>
      </x:c>
      <x:c r="H44" s="43" t="str">
        <x:v>是</x:v>
      </x:c>
      <x:c r="I44" s="43" t="str">
        <x:v>P1</x:v>
      </x:c>
      <x:c r="J44" s="43" t="str">
        <x:v>记录为什么换</x:v>
      </x:c>
      <x:c r="K44" s="43" t="str">
        <x:v>重量后别扭、疲劳、刺激切换</x:v>
      </x:c>
      <x:c r="L44" s="43" t="str">
        <x:v>不适/疲劳/器械/刺激</x:v>
      </x:c>
      <x:c r="M44" s="93" t="str">
        <x:v>待确认</x:v>
      </x:c>
      <x:c r="N44" s="93"/>
      <x:c r="O44" s="93" t="str">
        <x:v>待定</x:v>
      </x:c>
      <x:c r="P44" s="93"/>
      <x:c r="Q44" s="58"/>
      <x:c r="R44" s="58"/>
      <x:c r="S44" s="58"/>
      <x:c r="T44" s="58"/>
      <x:c r="U44" s="58"/>
      <x:c r="V44" s="58"/>
    </x:row>
    <x:row r="45">
      <x:c r="A45" s="43" t="str">
        <x:v>F044</x:v>
      </x:c>
      <x:c r="B45" s="43" t="str">
        <x:v>周期</x:v>
      </x:c>
      <x:c r="C45" s="43" t="str">
        <x:v>循环</x:v>
      </x:c>
      <x:c r="D45" s="43" t="str">
        <x:v>体重</x:v>
      </x:c>
      <x:c r="E45" s="43" t="str">
        <x:v>body_weight</x:v>
      </x:c>
      <x:c r="F45" s="43" t="str">
        <x:v>number</x:v>
      </x:c>
      <x:c r="G45" s="43" t="str">
        <x:v>Body模块</x:v>
      </x:c>
      <x:c r="H45" s="43" t="str">
        <x:v>是</x:v>
      </x:c>
      <x:c r="I45" s="43" t="str">
        <x:v>P1</x:v>
      </x:c>
      <x:c r="J45" s="43" t="str">
        <x:v>同体脂条件下进步参考</x:v>
      </x:c>
      <x:c r="K45" s="43" t="str">
        <x:v>文稿将体重变化列为直观指标</x:v>
      </x:c>
      <x:c r="L45" s="43" t="str">
        <x:v>kg</x:v>
      </x:c>
      <x:c r="M45" s="93" t="str">
        <x:v>待确认</x:v>
      </x:c>
      <x:c r="N45" s="93"/>
      <x:c r="O45" s="93" t="str">
        <x:v>待定</x:v>
      </x:c>
      <x:c r="P45" s="93"/>
      <x:c r="Q45" s="58"/>
      <x:c r="R45" s="58"/>
      <x:c r="S45" s="58"/>
      <x:c r="T45" s="58"/>
      <x:c r="U45" s="58"/>
      <x:c r="V45" s="58"/>
    </x:row>
    <x:row r="46">
      <x:c r="A46" s="43" t="str">
        <x:v>F045</x:v>
      </x:c>
      <x:c r="B46" s="43" t="str">
        <x:v>周期</x:v>
      </x:c>
      <x:c r="C46" s="43" t="str">
        <x:v>循环</x:v>
      </x:c>
      <x:c r="D46" s="93" t="str">
        <x:v>力量趋势</x:v>
      </x:c>
      <x:c r="E46" s="93" t="str">
        <x:v>strength_trend</x:v>
      </x:c>
      <x:c r="F46" s="93" t="str">
        <x:v>formula</x:v>
      </x:c>
      <x:c r="G46" s="93" t="str">
        <x:v>系统</x:v>
      </x:c>
      <x:c r="H46" s="93" t="str">
        <x:v>是</x:v>
      </x:c>
      <x:c r="I46" s="93" t="str">
        <x:v>P0</x:v>
      </x:c>
      <x:c r="J46" s="93" t="str">
        <x:v>主项progression</x:v>
      </x:c>
      <x:c r="K46" s="93" t="str">
        <x:v>同动作标准重量提高是进步</x:v>
      </x:c>
      <x:c r="L46" s="93" t="str">
        <x:v>自动</x:v>
      </x:c>
      <x:c r="M46" s="93" t="str">
        <x:v>待确认</x:v>
      </x:c>
      <x:c r="N46" s="93"/>
      <x:c r="O46" s="93" t="str">
        <x:v>待定</x:v>
      </x:c>
      <x:c r="P46" s="93"/>
      <x:c r="Q46" s="58"/>
      <x:c r="R46" s="58"/>
      <x:c r="S46" s="58"/>
      <x:c r="T46" s="58"/>
      <x:c r="U46" s="58"/>
      <x:c r="V46" s="58"/>
    </x:row>
    <x:row r="47">
      <x:c r="A47" s="43" t="str">
        <x:v>F046</x:v>
      </x:c>
      <x:c r="B47" s="43" t="str">
        <x:v>复盘</x:v>
      </x:c>
      <x:c r="C47" s="43" t="str">
        <x:v>每日/周期</x:v>
      </x:c>
      <x:c r="D47" s="93" t="str">
        <x:v>方法偏差</x:v>
      </x:c>
      <x:c r="E47" s="93" t="str">
        <x:v>method_deviation</x:v>
      </x:c>
      <x:c r="F47" s="93" t="str">
        <x:v>AI/formula</x:v>
      </x:c>
      <x:c r="G47" s="93" t="str">
        <x:v>系统</x:v>
      </x:c>
      <x:c r="H47" s="93" t="str">
        <x:v>是</x:v>
      </x:c>
      <x:c r="I47" s="93" t="str">
        <x:v>P0</x:v>
      </x:c>
      <x:c r="J47" s="93" t="str">
        <x:v>Method-aware Review核心</x:v>
      </x:c>
      <x:c r="K47" s="93" t="str">
        <x:v>Expected vs Actual</x:v>
      </x:c>
      <x:c r="L47" s="93" t="str">
        <x:v>自动</x:v>
      </x:c>
      <x:c r="M47" s="93" t="str">
        <x:v>待确认</x:v>
      </x:c>
      <x:c r="N47" s="93"/>
      <x:c r="O47" s="93" t="str">
        <x:v>待定</x:v>
      </x:c>
      <x:c r="P47" s="93"/>
      <x:c r="Q47" s="58"/>
      <x:c r="R47" s="58"/>
      <x:c r="S47" s="58"/>
      <x:c r="T47" s="58"/>
      <x:c r="U47" s="58"/>
      <x:c r="V47" s="58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7"/>
      <x:c r="N48" s="7"/>
      <x:c r="O48" s="7"/>
      <x:c r="P48" s="7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7"/>
      <x:c r="N49" s="7"/>
      <x:c r="O49" s="7"/>
      <x:c r="P49" s="7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7"/>
      <x:c r="N50" s="7"/>
      <x:c r="O50" s="7"/>
      <x:c r="P50" s="7"/>
    </x:row>
  </x:sheetData>
  <x:mergeCells>
    <x:mergeCell ref="A1:P1"/>
    <x:mergeCell ref="A2:P2"/>
    <x:mergeCell ref="R1:V1"/>
  </x:mergeCells>
  <x:conditionalFormatting sqref="I5:I50">
    <x:cfRule type="expression" dxfId="5" priority="1">
      <x:formula>I5="P0"</x:formula>
    </x:cfRule>
    <x:cfRule type="expression" dxfId="4" priority="2">
      <x:formula>I5="P1"</x:formula>
    </x:cfRule>
  </x:conditionalFormatting>
  <x:conditionalFormatting sqref="O5:O50">
    <x:cfRule type="expression" dxfId="3" priority="3">
      <x:formula>O5="删除"</x:formula>
    </x:cfRule>
    <x:cfRule type="expression" dxfId="2" priority="4">
      <x:formula>LEFT(O5,2)="保留"</x:formula>
    </x:cfRule>
  </x:conditionalFormatting>
  <x:dataValidations count="2">
    <x:dataValidation type="list" sqref="M5:M50">
      <x:formula1>"待确认,认可,不需要,想改字段,希望自动化,不理解"</x:formula1>
    </x:dataValidation>
    <x:dataValidation type="list" sqref="O5:O50">
      <x:formula1>"待定,保留P0,保留P1,保留P2,删除,合并,改名,改为自动生成"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"/>
  <x:cols>
    <x:col min="1" max="1" width="10" customWidth="1"/>
    <x:col min="2" max="2" width="16" customWidth="1"/>
    <x:col min="3" max="4" width="40" customWidth="1"/>
    <x:col min="5" max="5" width="28" customWidth="1"/>
    <x:col min="6" max="6" width="24" customWidth="1"/>
    <x:col min="7" max="7" width="10" customWidth="1"/>
    <x:col min="8" max="8" width="34" customWidth="1"/>
    <x:col min="9" max="9" width="22" customWidth="1"/>
    <x:col min="10" max="10" width="20" hidden="0" customWidth="1"/>
    <x:col min="11" max="11" width="18" hidden="0" customWidth="1"/>
    <x:col min="12" max="12" width="16" hidden="0" customWidth="1"/>
    <x:col min="13" max="13" width="14" hidden="0" customWidth="1"/>
    <x:col min="14" max="14" width="10" hidden="0" customWidth="1"/>
    <x:col min="15" max="15" width="28" hidden="0" customWidth="1"/>
  </x:cols>
  <x:sheetData>
    <x:row r="1" ht="20" customHeight="1">
      <x:c r="A1" s="11" t="s">
        <x:v>0</x:v>
      </x:c>
      <x:c r="B1" s="12"/>
      <x:c r="C1" s="12"/>
      <x:c r="D1" s="12"/>
      <x:c r="E1" s="12"/>
      <x:c r="F1" s="12"/>
      <x:c r="G1" s="12"/>
      <x:c r="H1" s="12"/>
      <x:c r="I1" s="12"/>
    </x:row>
    <x:row r="2" ht="22.649999618530273" customHeight="1">
      <x:c r="A2" s="34" t="s">
        <x:v>1</x:v>
      </x:c>
      <x:c r="B2" s="12"/>
      <x:c r="C2" s="12"/>
      <x:c r="D2" s="12"/>
      <x:c r="E2" s="12"/>
      <x:c r="F2" s="12"/>
      <x:c r="G2" s="12"/>
      <x:c r="H2" s="12"/>
      <x:c r="I2" s="12"/>
    </x:row>
    <x:row r="4">
      <x:c r="A4" s="1" t="s">
        <x:v>2</x:v>
      </x:c>
      <x:c r="B4" s="1" t="s">
        <x:v>3</x:v>
      </x:c>
      <x:c r="C4" s="1" t="s">
        <x:v>4</x:v>
      </x:c>
      <x:c r="D4" s="1" t="s">
        <x:v>5</x:v>
      </x:c>
      <x:c r="E4" s="1" t="s">
        <x:v>6</x:v>
      </x:c>
      <x:c r="F4" s="1" t="s">
        <x:v>7</x:v>
      </x:c>
      <x:c r="G4" s="1" t="s">
        <x:v>8</x:v>
      </x:c>
      <x:c r="H4" s="1" t="s">
        <x:v>9</x:v>
      </x:c>
      <x:c r="I4" s="1" t="s">
        <x:v>10</x:v>
      </x:c>
      <x:c r="J4" s="86" t="str">
        <x:v>规则来源</x:v>
      </x:c>
      <x:c r="K4" s="86" t="str">
        <x:v>EvidenceID</x:v>
      </x:c>
      <x:c r="L4" s="86" t="str">
        <x:v>运行时权威</x:v>
      </x:c>
      <x:c r="M4" s="86" t="str">
        <x:v>Canonical状态</x:v>
      </x:c>
      <x:c r="N4" s="86" t="str">
        <x:v>可导入</x:v>
      </x:c>
      <x:c r="O4" s="86" t="str">
        <x:v>目标DB</x:v>
      </x:c>
    </x:row>
    <x:row r="5">
      <x:c r="A5" s="2" t="s">
        <x:v>11</x:v>
      </x:c>
      <x:c r="B5" s="2" t="s">
        <x:v>12</x:v>
      </x:c>
      <x:c r="C5" s="2" t="s">
        <x:v>13</x:v>
      </x:c>
      <x:c r="D5" s="2" t="s">
        <x:v>14</x:v>
      </x:c>
      <x:c r="E5" s="2" t="s">
        <x:v>15</x:v>
      </x:c>
      <x:c r="F5" s="2" t="s">
        <x:v>16</x:v>
      </x:c>
      <x:c r="G5" s="2" t="s">
        <x:v>17</x:v>
      </x:c>
      <x:c r="H5" s="2" t="s">
        <x:v>18</x:v>
      </x:c>
      <x:c r="I5" s="2"/>
      <x:c r="J5" s="58" t="str">
        <x:v>方法原文明示</x:v>
      </x:c>
      <x:c r="K5" s="58" t="str">
        <x:v>EV-GOAL-001</x:v>
      </x:c>
      <x:c r="L5" s="58" t="str">
        <x:v>方法真值</x:v>
      </x:c>
      <x:c r="M5" s="58" t="str">
        <x:v>生效</x:v>
      </x:c>
      <x:c r="N5" s="58" t="str">
        <x:v>是</x:v>
      </x:c>
      <x:c r="O5" s="58" t="str">
        <x:v>method_rules(principle)</x:v>
      </x:c>
    </x:row>
    <x:row r="6">
      <x:c r="A6" s="2" t="s">
        <x:v>19</x:v>
      </x:c>
      <x:c r="B6" s="2" t="s">
        <x:v>20</x:v>
      </x:c>
      <x:c r="C6" s="2" t="s">
        <x:v>21</x:v>
      </x:c>
      <x:c r="D6" s="2" t="s">
        <x:v>22</x:v>
      </x:c>
      <x:c r="E6" s="2" t="s">
        <x:v>23</x:v>
      </x:c>
      <x:c r="F6" s="2" t="s">
        <x:v>24</x:v>
      </x:c>
      <x:c r="G6" s="2" t="s">
        <x:v>17</x:v>
      </x:c>
      <x:c r="H6" s="2" t="s">
        <x:v>25</x:v>
      </x:c>
      <x:c r="I6" s="2"/>
      <x:c r="J6" s="58" t="str">
        <x:v>方法原文明示</x:v>
      </x:c>
      <x:c r="K6" s="58" t="str">
        <x:v>EV-FREE-001</x:v>
      </x:c>
      <x:c r="L6" s="58" t="str">
        <x:v>方法真值</x:v>
      </x:c>
      <x:c r="M6" s="58" t="str">
        <x:v>生效</x:v>
      </x:c>
      <x:c r="N6" s="58" t="str">
        <x:v>是</x:v>
      </x:c>
      <x:c r="O6" s="58" t="str">
        <x:v>method_rules(principle)</x:v>
      </x:c>
    </x:row>
    <x:row r="7">
      <x:c r="A7" s="2" t="s">
        <x:v>26</x:v>
      </x:c>
      <x:c r="B7" s="2" t="s">
        <x:v>27</x:v>
      </x:c>
      <x:c r="C7" s="2" t="s">
        <x:v>28</x:v>
      </x:c>
      <x:c r="D7" s="2" t="s">
        <x:v>29</x:v>
      </x:c>
      <x:c r="E7" s="2" t="s">
        <x:v>30</x:v>
      </x:c>
      <x:c r="F7" s="2" t="s">
        <x:v>31</x:v>
      </x:c>
      <x:c r="G7" s="2" t="s">
        <x:v>17</x:v>
      </x:c>
      <x:c r="H7" s="2" t="s">
        <x:v>32</x:v>
      </x:c>
      <x:c r="I7" s="2"/>
      <x:c r="J7" s="58" t="str">
        <x:v>方法原文明示</x:v>
      </x:c>
      <x:c r="K7" s="58" t="str">
        <x:v>EV-M003</x:v>
      </x:c>
      <x:c r="L7" s="58" t="str">
        <x:v>方法真值</x:v>
      </x:c>
      <x:c r="M7" s="58" t="str">
        <x:v>生效</x:v>
      </x:c>
      <x:c r="N7" s="58" t="str">
        <x:v>是</x:v>
      </x:c>
      <x:c r="O7" s="58" t="str">
        <x:v>method_rules(principle)</x:v>
      </x:c>
    </x:row>
    <x:row r="8">
      <x:c r="A8" s="2" t="s">
        <x:v>33</x:v>
      </x:c>
      <x:c r="B8" s="2" t="s">
        <x:v>34</x:v>
      </x:c>
      <x:c r="C8" s="2" t="s">
        <x:v>35</x:v>
      </x:c>
      <x:c r="D8" s="2" t="s">
        <x:v>36</x:v>
      </x:c>
      <x:c r="E8" s="2" t="s">
        <x:v>37</x:v>
      </x:c>
      <x:c r="F8" s="2" t="s">
        <x:v>38</x:v>
      </x:c>
      <x:c r="G8" s="2" t="s">
        <x:v>17</x:v>
      </x:c>
      <x:c r="H8" s="2" t="s">
        <x:v>39</x:v>
      </x:c>
      <x:c r="I8" s="2"/>
      <x:c r="J8" s="58" t="str">
        <x:v>方法原文明示</x:v>
      </x:c>
      <x:c r="K8" s="58" t="str">
        <x:v>EV-M004</x:v>
      </x:c>
      <x:c r="L8" s="58" t="str">
        <x:v>方法真值</x:v>
      </x:c>
      <x:c r="M8" s="58" t="str">
        <x:v>生效</x:v>
      </x:c>
      <x:c r="N8" s="58" t="str">
        <x:v>是</x:v>
      </x:c>
      <x:c r="O8" s="58" t="str">
        <x:v>method_rules(principle)</x:v>
      </x:c>
    </x:row>
    <x:row r="9">
      <x:c r="A9" s="2" t="s">
        <x:v>40</x:v>
      </x:c>
      <x:c r="B9" s="2" t="s">
        <x:v>41</x:v>
      </x:c>
      <x:c r="C9" s="2" t="s">
        <x:v>42</x:v>
      </x:c>
      <x:c r="D9" s="2" t="s">
        <x:v>43</x:v>
      </x:c>
      <x:c r="E9" s="2" t="s">
        <x:v>44</x:v>
      </x:c>
      <x:c r="F9" s="2" t="s">
        <x:v>45</x:v>
      </x:c>
      <x:c r="G9" s="2" t="s">
        <x:v>17</x:v>
      </x:c>
      <x:c r="H9" s="2" t="s">
        <x:v>46</x:v>
      </x:c>
      <x:c r="I9" s="2"/>
      <x:c r="J9" s="58" t="str">
        <x:v>方法原文明示</x:v>
      </x:c>
      <x:c r="K9" s="58" t="str">
        <x:v>EV-PROG-001</x:v>
      </x:c>
      <x:c r="L9" s="58" t="str">
        <x:v>方法真值</x:v>
      </x:c>
      <x:c r="M9" s="58" t="str">
        <x:v>生效</x:v>
      </x:c>
      <x:c r="N9" s="58" t="str">
        <x:v>是</x:v>
      </x:c>
      <x:c r="O9" s="58" t="str">
        <x:v>method_rules(principle)</x:v>
      </x:c>
    </x:row>
    <x:row r="10">
      <x:c r="A10" s="2" t="s">
        <x:v>47</x:v>
      </x:c>
      <x:c r="B10" s="2" t="s">
        <x:v>48</x:v>
      </x:c>
      <x:c r="C10" s="2" t="s">
        <x:v>49</x:v>
      </x:c>
      <x:c r="D10" s="2" t="s">
        <x:v>50</x:v>
      </x:c>
      <x:c r="E10" s="2" t="s">
        <x:v>51</x:v>
      </x:c>
      <x:c r="F10" s="2" t="s">
        <x:v>52</x:v>
      </x:c>
      <x:c r="G10" s="2" t="s">
        <x:v>17</x:v>
      </x:c>
      <x:c r="H10" s="2" t="s">
        <x:v>53</x:v>
      </x:c>
      <x:c r="I10" s="2"/>
      <x:c r="J10" s="58" t="str">
        <x:v>方法原文明示</x:v>
      </x:c>
      <x:c r="K10" s="58" t="str">
        <x:v>EV-M006</x:v>
      </x:c>
      <x:c r="L10" s="58" t="str">
        <x:v>方法真值</x:v>
      </x:c>
      <x:c r="M10" s="58" t="str">
        <x:v>生效</x:v>
      </x:c>
      <x:c r="N10" s="58" t="str">
        <x:v>是</x:v>
      </x:c>
      <x:c r="O10" s="58" t="str">
        <x:v>method_rules(principle)</x:v>
      </x:c>
    </x:row>
    <x:row r="11">
      <x:c r="A11" s="2" t="s">
        <x:v>54</x:v>
      </x:c>
      <x:c r="B11" s="2" t="s">
        <x:v>55</x:v>
      </x:c>
      <x:c r="C11" s="2" t="s">
        <x:v>56</x:v>
      </x:c>
      <x:c r="D11" s="2" t="s">
        <x:v>57</x:v>
      </x:c>
      <x:c r="E11" s="2" t="s">
        <x:v>58</x:v>
      </x:c>
      <x:c r="F11" s="2" t="s">
        <x:v>59</x:v>
      </x:c>
      <x:c r="G11" s="2" t="s">
        <x:v>17</x:v>
      </x:c>
      <x:c r="H11" s="2" t="s">
        <x:v>60</x:v>
      </x:c>
      <x:c r="I11" s="2"/>
      <x:c r="J11" s="58" t="str">
        <x:v>方法原文明示</x:v>
      </x:c>
      <x:c r="K11" s="58" t="str">
        <x:v>EV-M007</x:v>
      </x:c>
      <x:c r="L11" s="58" t="str">
        <x:v>方法真值</x:v>
      </x:c>
      <x:c r="M11" s="58" t="str">
        <x:v>生效</x:v>
      </x:c>
      <x:c r="N11" s="58" t="str">
        <x:v>是</x:v>
      </x:c>
      <x:c r="O11" s="58" t="str">
        <x:v>method_rules(principle)</x:v>
      </x:c>
    </x:row>
    <x:row r="12">
      <x:c r="A12" s="2" t="s">
        <x:v>61</x:v>
      </x:c>
      <x:c r="B12" s="2" t="s">
        <x:v>62</x:v>
      </x:c>
      <x:c r="C12" s="2" t="s">
        <x:v>63</x:v>
      </x:c>
      <x:c r="D12" s="2" t="s">
        <x:v>64</x:v>
      </x:c>
      <x:c r="E12" s="2" t="s">
        <x:v>65</x:v>
      </x:c>
      <x:c r="F12" s="2" t="s">
        <x:v>66</x:v>
      </x:c>
      <x:c r="G12" s="2" t="s">
        <x:v>17</x:v>
      </x:c>
      <x:c r="H12" s="2" t="s">
        <x:v>67</x:v>
      </x:c>
      <x:c r="I12" s="2"/>
      <x:c r="J12" s="58" t="str">
        <x:v>方法原文明示</x:v>
      </x:c>
      <x:c r="K12" s="58" t="str">
        <x:v>EV-M008</x:v>
      </x:c>
      <x:c r="L12" s="58" t="str">
        <x:v>方法真值</x:v>
      </x:c>
      <x:c r="M12" s="58" t="str">
        <x:v>生效</x:v>
      </x:c>
      <x:c r="N12" s="58" t="str">
        <x:v>是</x:v>
      </x:c>
      <x:c r="O12" s="58" t="str">
        <x:v>method_rules(principle)</x:v>
      </x:c>
    </x:row>
    <x:row r="13">
      <x:c r="A13" s="2" t="s">
        <x:v>68</x:v>
      </x:c>
      <x:c r="B13" s="2" t="s">
        <x:v>69</x:v>
      </x:c>
      <x:c r="C13" s="2" t="s">
        <x:v>70</x:v>
      </x:c>
      <x:c r="D13" s="2" t="s">
        <x:v>71</x:v>
      </x:c>
      <x:c r="E13" s="2" t="s">
        <x:v>72</x:v>
      </x:c>
      <x:c r="F13" s="2" t="s">
        <x:v>73</x:v>
      </x:c>
      <x:c r="G13" s="2" t="s">
        <x:v>17</x:v>
      </x:c>
      <x:c r="H13" s="2" t="s">
        <x:v>74</x:v>
      </x:c>
      <x:c r="I13" s="2"/>
      <x:c r="J13" s="58" t="str">
        <x:v>方法原文明示</x:v>
      </x:c>
      <x:c r="K13" s="58" t="str">
        <x:v>EV-REC-001</x:v>
      </x:c>
      <x:c r="L13" s="58" t="str">
        <x:v>方法真值</x:v>
      </x:c>
      <x:c r="M13" s="58" t="str">
        <x:v>生效</x:v>
      </x:c>
      <x:c r="N13" s="58" t="str">
        <x:v>是</x:v>
      </x:c>
      <x:c r="O13" s="58" t="str">
        <x:v>method_rules(principle)</x:v>
      </x:c>
    </x:row>
    <x:row r="14">
      <x:c r="A14" s="2" t="s">
        <x:v>75</x:v>
      </x:c>
      <x:c r="B14" s="2" t="s">
        <x:v>76</x:v>
      </x:c>
      <x:c r="C14" s="2" t="s">
        <x:v>77</x:v>
      </x:c>
      <x:c r="D14" s="2" t="s">
        <x:v>78</x:v>
      </x:c>
      <x:c r="E14" s="2" t="str">
        <x:v>睡眠质量/整体疲劳/明显不适/近期训练表现；HRV未来可选</x:v>
      </x:c>
      <x:c r="F14" s="2" t="s">
        <x:v>79</x:v>
      </x:c>
      <x:c r="G14" s="2" t="s">
        <x:v>17</x:v>
      </x:c>
      <x:c r="H14" s="2" t="s">
        <x:v>80</x:v>
      </x:c>
      <x:c r="I14" s="2" t="str">
        <x:v>原方法强调恢复与个体差异；Pawside产品只保留低摩擦恢复输入，并把设备型指标后置。</x:v>
      </x:c>
      <x:c r="J14" s="58" t="str">
        <x:v>方法原文明示</x:v>
      </x:c>
      <x:c r="K14" s="58" t="str">
        <x:v>EV-REC-001</x:v>
      </x:c>
      <x:c r="L14" s="58" t="str">
        <x:v>方法真值</x:v>
      </x:c>
      <x:c r="M14" s="58" t="str">
        <x:v>生效</x:v>
      </x:c>
      <x:c r="N14" s="58" t="str">
        <x:v>是</x:v>
      </x:c>
      <x:c r="O14" s="58" t="str">
        <x:v>method_rules(principle)</x:v>
      </x:c>
    </x:row>
    <x:row r="15">
      <x:c r="A15" s="2" t="s">
        <x:v>81</x:v>
      </x:c>
      <x:c r="B15" s="2" t="s">
        <x:v>82</x:v>
      </x:c>
      <x:c r="C15" s="2" t="s">
        <x:v>83</x:v>
      </x:c>
      <x:c r="D15" s="2" t="s">
        <x:v>84</x:v>
      </x:c>
      <x:c r="E15" s="2" t="s">
        <x:v>85</x:v>
      </x:c>
      <x:c r="F15" s="2" t="s">
        <x:v>86</x:v>
      </x:c>
      <x:c r="G15" s="2" t="s">
        <x:v>17</x:v>
      </x:c>
      <x:c r="H15" s="2" t="s">
        <x:v>87</x:v>
      </x:c>
      <x:c r="I15" s="2"/>
      <x:c r="J15" s="58" t="str">
        <x:v>方法原文明示</x:v>
      </x:c>
      <x:c r="K15" s="58" t="str">
        <x:v>EV-QUALITY-001</x:v>
      </x:c>
      <x:c r="L15" s="58" t="str">
        <x:v>方法真值</x:v>
      </x:c>
      <x:c r="M15" s="58" t="str">
        <x:v>生效</x:v>
      </x:c>
      <x:c r="N15" s="58" t="str">
        <x:v>是</x:v>
      </x:c>
      <x:c r="O15" s="58" t="str">
        <x:v>method_rules(principle)</x:v>
      </x:c>
    </x:row>
    <x:row r="16">
      <x:c r="A16" s="2" t="s">
        <x:v>88</x:v>
      </x:c>
      <x:c r="B16" s="2" t="s">
        <x:v>89</x:v>
      </x:c>
      <x:c r="C16" s="2" t="s">
        <x:v>90</x:v>
      </x:c>
      <x:c r="D16" s="2" t="s">
        <x:v>91</x:v>
      </x:c>
      <x:c r="E16" s="2" t="s">
        <x:v>92</x:v>
      </x:c>
      <x:c r="F16" s="2" t="s">
        <x:v>93</x:v>
      </x:c>
      <x:c r="G16" s="2" t="s">
        <x:v>17</x:v>
      </x:c>
      <x:c r="H16" s="2" t="s">
        <x:v>94</x:v>
      </x:c>
      <x:c r="I16" s="2"/>
      <x:c r="J16" s="58" t="str">
        <x:v>方法原文明示</x:v>
      </x:c>
      <x:c r="K16" s="58" t="str">
        <x:v>EV-FEEL-001</x:v>
      </x:c>
      <x:c r="L16" s="58" t="str">
        <x:v>方法真值</x:v>
      </x:c>
      <x:c r="M16" s="58" t="str">
        <x:v>生效</x:v>
      </x:c>
      <x:c r="N16" s="58" t="str">
        <x:v>是</x:v>
      </x:c>
      <x:c r="O16" s="58" t="str">
        <x:v>method_rules(principle)</x:v>
      </x:c>
    </x:row>
    <x:row r="17">
      <x:c r="A17" s="2" t="s">
        <x:v>95</x:v>
      </x:c>
      <x:c r="B17" s="2" t="s">
        <x:v>96</x:v>
      </x:c>
      <x:c r="C17" s="2" t="s">
        <x:v>97</x:v>
      </x:c>
      <x:c r="D17" s="2" t="s">
        <x:v>98</x:v>
      </x:c>
      <x:c r="E17" s="2" t="s">
        <x:v>99</x:v>
      </x:c>
      <x:c r="F17" s="2" t="s">
        <x:v>100</x:v>
      </x:c>
      <x:c r="G17" s="2" t="s">
        <x:v>17</x:v>
      </x:c>
      <x:c r="H17" s="2" t="s">
        <x:v>101</x:v>
      </x:c>
      <x:c r="I17" s="2"/>
      <x:c r="J17" s="58" t="str">
        <x:v>方法原文明示</x:v>
      </x:c>
      <x:c r="K17" s="58" t="str">
        <x:v>EV-MONTH-001</x:v>
      </x:c>
      <x:c r="L17" s="58" t="str">
        <x:v>方法真值</x:v>
      </x:c>
      <x:c r="M17" s="58" t="str">
        <x:v>生效</x:v>
      </x:c>
      <x:c r="N17" s="58" t="str">
        <x:v>是</x:v>
      </x:c>
      <x:c r="O17" s="58" t="str">
        <x:v>method_rules(principle)</x:v>
      </x:c>
    </x:row>
  </x:sheetData>
  <x:mergeCells>
    <x:mergeCell ref="A1:I1"/>
    <x:mergeCell ref="A2:I2"/>
  </x:mergeCells>
  <x:dataValidations count="3">
    <x:dataValidation type="list" sqref="M5:M200">
      <x:formula1>"生效,待确认,待核验,待补证据,不导入,归档"</x:formula1>
    </x:dataValidation>
    <x:dataValidation type="list" sqref="N5:N200">
      <x:formula1>"是,部分,否"</x:formula1>
    </x:dataValidation>
    <x:dataValidation type="list" sqref="J5:J200">
      <x:formula1>"方法原文明示,方法原文部分明确,方法原文推导,方法原文明示/细则不足,产品适应策略,用户确认,待确认"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4"/>
  <x:cols>
    <x:col min="1" max="1" width="8" customWidth="1"/>
    <x:col min="2" max="2" width="20" customWidth="1"/>
    <x:col min="3" max="3" width="8" customWidth="1"/>
    <x:col min="4" max="4" width="24" customWidth="1"/>
    <x:col min="5" max="5" width="28" customWidth="1"/>
    <x:col min="6" max="6" width="18" customWidth="1"/>
    <x:col min="7" max="7" width="30" customWidth="1"/>
    <x:col min="8" max="9" width="26" customWidth="1"/>
    <x:col min="10" max="10" width="38" customWidth="1"/>
    <x:col min="11" max="11" width="32" customWidth="1"/>
    <x:col min="12" max="13" width="10" customWidth="1"/>
    <x:col min="14" max="14" width="26" customWidth="1"/>
    <x:col min="15" max="15" width="20" hidden="0" customWidth="1"/>
    <x:col min="16" max="16" width="22" hidden="0" customWidth="1"/>
    <x:col min="17" max="17" width="16" hidden="0" customWidth="1"/>
    <x:col min="18" max="18" width="14" hidden="0" customWidth="1"/>
    <x:col min="19" max="19" width="10" hidden="0" customWidth="1"/>
    <x:col min="20" max="20" width="28" hidden="0" customWidth="1"/>
  </x:cols>
  <x:sheetData>
    <x:row r="1" ht="20" customHeight="1">
      <x:c r="A1" s="11" t="s">
        <x:v>102</x:v>
      </x:c>
      <x:c r="B1" s="12"/>
      <x:c r="C1" s="12"/>
      <x:c r="D1" s="12"/>
      <x:c r="E1" s="12"/>
      <x:c r="F1" s="12"/>
      <x:c r="G1" s="12"/>
      <x:c r="H1" s="12"/>
      <x:c r="I1" s="12"/>
      <x:c r="J1" s="12"/>
      <x:c r="K1" s="12"/>
      <x:c r="L1" s="12"/>
      <x:c r="M1" s="12"/>
      <x:c r="N1" s="12"/>
    </x:row>
    <x:row r="2" ht="22.649999618530273" customHeight="1">
      <x:c r="A2" s="34" t="s">
        <x:v>103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</x:row>
    <x:row r="4">
      <x:c r="A4" s="1" t="s">
        <x:v>104</x:v>
      </x:c>
      <x:c r="B4" s="1" t="s">
        <x:v>105</x:v>
      </x:c>
      <x:c r="C4" s="1" t="s">
        <x:v>106</x:v>
      </x:c>
      <x:c r="D4" s="1" t="s">
        <x:v>107</x:v>
      </x:c>
      <x:c r="E4" s="1" t="s">
        <x:v>108</x:v>
      </x:c>
      <x:c r="F4" s="1" t="s">
        <x:v>109</x:v>
      </x:c>
      <x:c r="G4" s="1" t="s">
        <x:v>110</x:v>
      </x:c>
      <x:c r="H4" s="1" t="s">
        <x:v>111</x:v>
      </x:c>
      <x:c r="I4" s="1" t="s">
        <x:v>112</x:v>
      </x:c>
      <x:c r="J4" s="1" t="s">
        <x:v>113</x:v>
      </x:c>
      <x:c r="K4" s="1" t="s">
        <x:v>114</x:v>
      </x:c>
      <x:c r="L4" s="1" t="s">
        <x:v>115</x:v>
      </x:c>
      <x:c r="M4" s="1" t="s">
        <x:v>8</x:v>
      </x:c>
      <x:c r="N4" s="1" t="s">
        <x:v>10</x:v>
      </x:c>
      <x:c r="O4" s="86" t="str">
        <x:v>规则来源</x:v>
      </x:c>
      <x:c r="P4" s="86" t="str">
        <x:v>EvidenceID</x:v>
      </x:c>
      <x:c r="Q4" s="86" t="str">
        <x:v>运行时权威</x:v>
      </x:c>
      <x:c r="R4" s="86" t="str">
        <x:v>Canonical状态</x:v>
      </x:c>
      <x:c r="S4" s="86" t="str">
        <x:v>可导入</x:v>
      </x:c>
      <x:c r="T4" s="86" t="str">
        <x:v>目标DB</x:v>
      </x:c>
    </x:row>
    <x:row r="5">
      <x:c r="A5" s="2" t="s">
        <x:v>116</x:v>
      </x:c>
      <x:c r="B5" s="2" t="s">
        <x:v>117</x:v>
      </x:c>
      <x:c r="C5" s="2">
        <x:v>1</x:v>
      </x:c>
      <x:c r="D5" s="2" t="s">
        <x:v>118</x:v>
      </x:c>
      <x:c r="E5" s="2" t="s">
        <x:v>118</x:v>
      </x:c>
      <x:c r="F5" s="2" t="s">
        <x:v>119</x:v>
      </x:c>
      <x:c r="G5" s="2" t="s">
        <x:v>120</x:v>
      </x:c>
      <x:c r="H5" s="2" t="s">
        <x:v>121</x:v>
      </x:c>
      <x:c r="I5" s="2" t="s">
        <x:v>122</x:v>
      </x:c>
      <x:c r="J5" s="2" t="s">
        <x:v>123</x:v>
      </x:c>
      <x:c r="K5" s="2" t="s">
        <x:v>124</x:v>
      </x:c>
      <x:c r="L5" s="2" t="s">
        <x:v>17</x:v>
      </x:c>
      <x:c r="M5" s="2" t="s">
        <x:v>17</x:v>
      </x:c>
      <x:c r="N5" s="2"/>
      <x:c r="O5" s="58" t="str">
        <x:v>方法原文明示</x:v>
      </x:c>
      <x:c r="P5" s="58" t="str">
        <x:v>EV-BP-001;EV-BP-004</x:v>
      </x:c>
      <x:c r="Q5" s="58" t="str">
        <x:v>方法真值</x:v>
      </x:c>
      <x:c r="R5" s="58" t="str">
        <x:v>生效</x:v>
      </x:c>
      <x:c r="S5" s="58" t="str">
        <x:v>是</x:v>
      </x:c>
      <x:c r="T5" s="58" t="str">
        <x:v>method_splits + method_split_exercises</x:v>
      </x:c>
    </x:row>
    <x:row r="6">
      <x:c r="A6" s="2" t="s">
        <x:v>116</x:v>
      </x:c>
      <x:c r="B6" s="2" t="s">
        <x:v>117</x:v>
      </x:c>
      <x:c r="C6" s="2">
        <x:v>2</x:v>
      </x:c>
      <x:c r="D6" s="2" t="s">
        <x:v>125</x:v>
      </x:c>
      <x:c r="E6" s="2" t="s">
        <x:v>126</x:v>
      </x:c>
      <x:c r="F6" s="2" t="s">
        <x:v>127</x:v>
      </x:c>
      <x:c r="G6" s="2" t="s">
        <x:v>128</x:v>
      </x:c>
      <x:c r="H6" s="2" t="s">
        <x:v>129</x:v>
      </x:c>
      <x:c r="I6" s="2" t="s">
        <x:v>130</x:v>
      </x:c>
      <x:c r="J6" s="2" t="s">
        <x:v>131</x:v>
      </x:c>
      <x:c r="K6" s="2"/>
      <x:c r="L6" s="2" t="s">
        <x:v>17</x:v>
      </x:c>
      <x:c r="M6" s="2" t="s">
        <x:v>17</x:v>
      </x:c>
      <x:c r="N6" s="2" t="s">
        <x:v>132</x:v>
      </x:c>
      <x:c r="O6" s="58" t="str">
        <x:v>方法原文明示</x:v>
      </x:c>
      <x:c r="P6" s="58" t="str">
        <x:v>EV-INC-001</x:v>
      </x:c>
      <x:c r="Q6" s="58" t="str">
        <x:v>方法真值</x:v>
      </x:c>
      <x:c r="R6" s="58" t="str">
        <x:v>生效</x:v>
      </x:c>
      <x:c r="S6" s="58" t="str">
        <x:v>是</x:v>
      </x:c>
      <x:c r="T6" s="58" t="str">
        <x:v>method_split_exercises</x:v>
      </x:c>
    </x:row>
    <x:row r="7">
      <x:c r="A7" s="2" t="s">
        <x:v>116</x:v>
      </x:c>
      <x:c r="B7" s="2" t="s">
        <x:v>117</x:v>
      </x:c>
      <x:c r="C7" s="2">
        <x:v>3</x:v>
      </x:c>
      <x:c r="D7" s="2" t="s">
        <x:v>133</x:v>
      </x:c>
      <x:c r="E7" s="2" t="s">
        <x:v>133</x:v>
      </x:c>
      <x:c r="F7" s="2" t="s">
        <x:v>127</x:v>
      </x:c>
      <x:c r="G7" s="2" t="s">
        <x:v>134</x:v>
      </x:c>
      <x:c r="H7" s="2" t="s">
        <x:v>135</x:v>
      </x:c>
      <x:c r="I7" s="2" t="s">
        <x:v>136</x:v>
      </x:c>
      <x:c r="J7" s="2" t="s">
        <x:v>137</x:v>
      </x:c>
      <x:c r="K7" s="2" t="s">
        <x:v>138</x:v>
      </x:c>
      <x:c r="L7" s="2" t="s">
        <x:v>139</x:v>
      </x:c>
      <x:c r="M7" s="2" t="s">
        <x:v>17</x:v>
      </x:c>
      <x:c r="N7" s="2"/>
      <x:c r="O7" s="58" t="str">
        <x:v>方法原文明示</x:v>
      </x:c>
      <x:c r="P7" s="58" t="str">
        <x:v>EV-DIP-001</x:v>
      </x:c>
      <x:c r="Q7" s="58" t="str">
        <x:v>方法真值</x:v>
      </x:c>
      <x:c r="R7" s="58" t="str">
        <x:v>生效</x:v>
      </x:c>
      <x:c r="S7" s="58" t="str">
        <x:v>是</x:v>
      </x:c>
      <x:c r="T7" s="58" t="str">
        <x:v>method_split_exercises</x:v>
      </x:c>
    </x:row>
    <x:row r="8">
      <x:c r="A8" s="2" t="s">
        <x:v>116</x:v>
      </x:c>
      <x:c r="B8" s="2" t="s">
        <x:v>117</x:v>
      </x:c>
      <x:c r="C8" s="2">
        <x:v>4</x:v>
      </x:c>
      <x:c r="D8" s="2" t="s">
        <x:v>140</x:v>
      </x:c>
      <x:c r="E8" s="2" t="s">
        <x:v>141</x:v>
      </x:c>
      <x:c r="F8" s="2" t="s">
        <x:v>142</x:v>
      </x:c>
      <x:c r="G8" s="2" t="s">
        <x:v>143</x:v>
      </x:c>
      <x:c r="H8" s="2" t="s">
        <x:v>144</x:v>
      </x:c>
      <x:c r="I8" s="2" t="s">
        <x:v>145</x:v>
      </x:c>
      <x:c r="J8" s="2" t="s">
        <x:v>146</x:v>
      </x:c>
      <x:c r="K8" s="2" t="s">
        <x:v>147</x:v>
      </x:c>
      <x:c r="L8" s="2" t="s">
        <x:v>139</x:v>
      </x:c>
      <x:c r="M8" s="2" t="s">
        <x:v>17</x:v>
      </x:c>
      <x:c r="N8" s="2"/>
      <x:c r="O8" s="58" t="str">
        <x:v>方法原文明示</x:v>
      </x:c>
      <x:c r="P8" s="58" t="str">
        <x:v>EV-TRI-001</x:v>
      </x:c>
      <x:c r="Q8" s="58" t="str">
        <x:v>方法真值</x:v>
      </x:c>
      <x:c r="R8" s="58" t="str">
        <x:v>生效</x:v>
      </x:c>
      <x:c r="S8" s="58" t="str">
        <x:v>是</x:v>
      </x:c>
      <x:c r="T8" s="58" t="str">
        <x:v>method_split_exercises</x:v>
      </x:c>
    </x:row>
    <x:row r="9">
      <x:c r="A9" s="2" t="s">
        <x:v>116</x:v>
      </x:c>
      <x:c r="B9" s="2" t="s">
        <x:v>117</x:v>
      </x:c>
      <x:c r="C9" s="2">
        <x:v>5</x:v>
      </x:c>
      <x:c r="D9" s="2" t="str">
        <x:v>Y字侧平举（转写另出现“拜姿”，按官方视频统一）</x:v>
      </x:c>
      <x:c r="E9" s="2" t="str">
        <x:v>Y字侧平举</x:v>
      </x:c>
      <x:c r="F9" s="2" t="s">
        <x:v>148</x:v>
      </x:c>
      <x:c r="G9" s="2" t="s">
        <x:v>149</x:v>
      </x:c>
      <x:c r="H9" s="2" t="s">
        <x:v>150</x:v>
      </x:c>
      <x:c r="I9" s="2" t="s">
        <x:v>151</x:v>
      </x:c>
      <x:c r="J9" s="2" t="s">
        <x:v>152</x:v>
      </x:c>
      <x:c r="K9" s="2"/>
      <x:c r="L9" s="2" t="s">
        <x:v>17</x:v>
      </x:c>
      <x:c r="M9" s="2" t="s">
        <x:v>139</x:v>
      </x:c>
      <x:c r="N9" s="2" t="str">
        <x:v>官方三分化跟练笔记明确标注“Y字侧平举”，且凯圣王有独立《Y字侧平举详解》；将“拜姿”视为转写/口语歧义。</x:v>
      </x:c>
      <x:c r="O9" s="58" t="str">
        <x:v>方法原文明示+官方视频</x:v>
      </x:c>
      <x:c r="P9" s="58" t="str">
        <x:v>EV-LATRAISE-001;EV-OFF-V001</x:v>
      </x:c>
      <x:c r="Q9" s="58" t="str">
        <x:v>方法真值</x:v>
      </x:c>
      <x:c r="R9" s="58" t="str">
        <x:v>生效</x:v>
      </x:c>
      <x:c r="S9" s="58" t="str">
        <x:v>是</x:v>
      </x:c>
      <x:c r="T9" s="58" t="str">
        <x:v>method_split_exercises</x:v>
      </x:c>
    </x:row>
    <x:row r="10">
      <x:c r="A10" s="2" t="s">
        <x:v>153</x:v>
      </x:c>
      <x:c r="B10" s="2" t="s">
        <x:v>154</x:v>
      </x:c>
      <x:c r="C10" s="2">
        <x:v>1</x:v>
      </x:c>
      <x:c r="D10" s="2" t="s">
        <x:v>155</x:v>
      </x:c>
      <x:c r="E10" s="2" t="s">
        <x:v>156</x:v>
      </x:c>
      <x:c r="F10" s="2" t="s">
        <x:v>157</x:v>
      </x:c>
      <x:c r="G10" s="2" t="s">
        <x:v>158</x:v>
      </x:c>
      <x:c r="H10" s="2" t="s">
        <x:v>159</x:v>
      </x:c>
      <x:c r="I10" s="2" t="s">
        <x:v>160</x:v>
      </x:c>
      <x:c r="J10" s="2" t="s">
        <x:v>161</x:v>
      </x:c>
      <x:c r="K10" s="2"/>
      <x:c r="L10" s="2" t="s">
        <x:v>17</x:v>
      </x:c>
      <x:c r="M10" s="2" t="s">
        <x:v>17</x:v>
      </x:c>
      <x:c r="N10" s="2"/>
      <x:c r="O10" s="58" t="str">
        <x:v>方法原文明示</x:v>
      </x:c>
      <x:c r="P10" s="58" t="str">
        <x:v>EV-PULL-001</x:v>
      </x:c>
      <x:c r="Q10" s="58" t="str">
        <x:v>方法真值</x:v>
      </x:c>
      <x:c r="R10" s="58" t="str">
        <x:v>生效</x:v>
      </x:c>
      <x:c r="S10" s="58" t="str">
        <x:v>是</x:v>
      </x:c>
      <x:c r="T10" s="58" t="str">
        <x:v>method_split_exercises</x:v>
      </x:c>
    </x:row>
    <x:row r="11">
      <x:c r="A11" s="2" t="s">
        <x:v>153</x:v>
      </x:c>
      <x:c r="B11" s="2" t="s">
        <x:v>154</x:v>
      </x:c>
      <x:c r="C11" s="2">
        <x:v>2</x:v>
      </x:c>
      <x:c r="D11" s="2" t="s">
        <x:v>162</x:v>
      </x:c>
      <x:c r="E11" s="2" t="s">
        <x:v>163</x:v>
      </x:c>
      <x:c r="F11" s="2" t="s">
        <x:v>164</x:v>
      </x:c>
      <x:c r="G11" s="2" t="s">
        <x:v>165</x:v>
      </x:c>
      <x:c r="H11" s="2" t="s">
        <x:v>166</x:v>
      </x:c>
      <x:c r="I11" s="2" t="s">
        <x:v>167</x:v>
      </x:c>
      <x:c r="J11" s="2" t="s">
        <x:v>168</x:v>
      </x:c>
      <x:c r="K11" s="2"/>
      <x:c r="L11" s="2" t="s">
        <x:v>139</x:v>
      </x:c>
      <x:c r="M11" s="2" t="s">
        <x:v>17</x:v>
      </x:c>
      <x:c r="N11" s="2" t="str">
        <x:v>官方计划顺序已确认；对握高位下拉有凯圣王独立详解。</x:v>
      </x:c>
      <x:c r="O11" s="58" t="str">
        <x:v>方法原文明示+官方视频</x:v>
      </x:c>
      <x:c r="P11" s="58" t="str">
        <x:v>EV-PULL-002;EV-OFF-V008;EV-OFF-V002B</x:v>
      </x:c>
      <x:c r="Q11" s="58" t="str">
        <x:v>方法真值</x:v>
      </x:c>
      <x:c r="R11" s="58" t="str">
        <x:v>生效</x:v>
      </x:c>
      <x:c r="S11" s="58" t="str">
        <x:v>是</x:v>
      </x:c>
      <x:c r="T11" s="58" t="str">
        <x:v>method_split_exercises</x:v>
      </x:c>
    </x:row>
    <x:row r="12">
      <x:c r="A12" s="2" t="s">
        <x:v>153</x:v>
      </x:c>
      <x:c r="B12" s="2" t="s">
        <x:v>154</x:v>
      </x:c>
      <x:c r="C12" s="2">
        <x:v>3</x:v>
      </x:c>
      <x:c r="D12" s="2" t="s">
        <x:v>169</x:v>
      </x:c>
      <x:c r="E12" s="2" t="s">
        <x:v>169</x:v>
      </x:c>
      <x:c r="F12" s="2" t="s">
        <x:v>164</x:v>
      </x:c>
      <x:c r="G12" s="2" t="s">
        <x:v>170</x:v>
      </x:c>
      <x:c r="H12" s="2" t="s">
        <x:v>171</x:v>
      </x:c>
      <x:c r="I12" s="2" t="s">
        <x:v>172</x:v>
      </x:c>
      <x:c r="J12" s="2" t="s">
        <x:v>173</x:v>
      </x:c>
      <x:c r="K12" s="2" t="s">
        <x:v>174</x:v>
      </x:c>
      <x:c r="L12" s="2" t="s">
        <x:v>17</x:v>
      </x:c>
      <x:c r="M12" s="2" t="s">
        <x:v>17</x:v>
      </x:c>
      <x:c r="N12" s="2"/>
      <x:c r="O12" s="58" t="str">
        <x:v>方法原文明示</x:v>
      </x:c>
      <x:c r="P12" s="58" t="str">
        <x:v>EV-ROW-001</x:v>
      </x:c>
      <x:c r="Q12" s="58" t="str">
        <x:v>方法真值</x:v>
      </x:c>
      <x:c r="R12" s="58" t="str">
        <x:v>生效</x:v>
      </x:c>
      <x:c r="S12" s="58" t="str">
        <x:v>是</x:v>
      </x:c>
      <x:c r="T12" s="58" t="str">
        <x:v>method_split_exercises</x:v>
      </x:c>
    </x:row>
    <x:row r="13">
      <x:c r="A13" s="2" t="s">
        <x:v>153</x:v>
      </x:c>
      <x:c r="B13" s="2" t="s">
        <x:v>154</x:v>
      </x:c>
      <x:c r="C13" s="2">
        <x:v>4</x:v>
      </x:c>
      <x:c r="D13" s="2" t="s">
        <x:v>175</x:v>
      </x:c>
      <x:c r="E13" s="2" t="s">
        <x:v>175</x:v>
      </x:c>
      <x:c r="F13" s="2" t="s">
        <x:v>176</x:v>
      </x:c>
      <x:c r="G13" s="2" t="str">
        <x:v>中下斜方肌 / 肩胛后缩能力</x:v>
      </x:c>
      <x:c r="H13" s="2" t="s">
        <x:v>177</x:v>
      </x:c>
      <x:c r="I13" s="2" t="s">
        <x:v>178</x:v>
      </x:c>
      <x:c r="J13" s="2" t="s">
        <x:v>177</x:v>
      </x:c>
      <x:c r="K13" s="2" t="s">
        <x:v>179</x:v>
      </x:c>
      <x:c r="L13" s="2" t="s">
        <x:v>17</x:v>
      </x:c>
      <x:c r="M13" s="2" t="s">
        <x:v>139</x:v>
      </x:c>
      <x:c r="N13" s="2" t="str">
        <x:v>计划开头曾出现“上斜方”口述，但后续针对该动作的详细解析明确说“练中下斜方肌”，并强调肩胛内收、不抡甩；采用动作专项上下文。</x:v>
      </x:c>
      <x:c r="O13" s="58" t="str">
        <x:v>方法原文明示+官方视频</x:v>
      </x:c>
      <x:c r="P13" s="58" t="str">
        <x:v>EV-ROW-002;EV-OFF-V007</x:v>
      </x:c>
      <x:c r="Q13" s="58" t="str">
        <x:v>方法真值</x:v>
      </x:c>
      <x:c r="R13" s="58" t="str">
        <x:v>生效</x:v>
      </x:c>
      <x:c r="S13" s="58" t="str">
        <x:v>是</x:v>
      </x:c>
      <x:c r="T13" s="58" t="str">
        <x:v>method_split_exercises</x:v>
      </x:c>
    </x:row>
    <x:row r="14">
      <x:c r="A14" s="2" t="str">
        <x:v>Day2</x:v>
      </x:c>
      <x:c r="B14" s="2" t="str">
        <x:v>背+后束+二头</x:v>
      </x:c>
      <x:c r="C14" s="2" t="n">
        <x:v>5</x:v>
      </x:c>
      <x:c r="D14" s="2" t="str">
        <x:v>钢线弯举 / 坐姿肩屈位弯举</x:v>
      </x:c>
      <x:c r="E14" s="2" t="str">
        <x:v>坐姿肩屈位绳索弯举</x:v>
      </x:c>
      <x:c r="F14" s="2" t="str">
        <x:v>孤立</x:v>
      </x:c>
      <x:c r="G14" s="2" t="str">
        <x:v>肱二头肌</x:v>
      </x:c>
      <x:c r="H14" s="2" t="str">
        <x:v>3组（方法明确）×12–15次（产品执行默认）</x:v>
      </x:c>
      <x:c r="I14" s="2" t="str">
        <x:v>动作质量优先；末组允许接近或达到技术性力竭（产品默认）</x:v>
      </x:c>
      <x:c r="J14" s="2" t="str">
        <x:v>仅校准reference_weight；不改变method_stage</x:v>
      </x:c>
      <x:c r="K14" s="2"/>
      <x:c r="L14" s="2" t="str">
        <x:v>高</x:v>
      </x:c>
      <x:c r="M14" s="2" t="str">
        <x:v>中高</x:v>
      </x:c>
      <x:c r="N14" s="2" t="str">
        <x:v>动作身份、3组、质量优先为方法真值；12–15次与calibration-only为Pawside V1产品执行默认。不得表述为作者明确次数。</x:v>
      </x:c>
      <x:c r="O14" s="58" t="str">
        <x:v>方法原文明示 + Pawside V1产品执行默认</x:v>
      </x:c>
      <x:c r="P14" s="58" t="str">
        <x:v>EV-CURL-001;EV-OFF-V006;EV-P0-CURL-DEFAULT</x:v>
      </x:c>
      <x:c r="Q14" s="58" t="str">
        <x:v>字段级混合：method_explicit + product_execution_default</x:v>
      </x:c>
      <x:c r="R14" s="58" t="str">
        <x:v>生效</x:v>
      </x:c>
      <x:c r="S14" s="58" t="str">
        <x:v>是</x:v>
      </x:c>
      <x:c r="T14" s="58" t="str">
        <x:v>method_split_exercises + method_rules(calibration)</x:v>
      </x:c>
    </x:row>
    <x:row r="15">
      <x:c r="A15" s="2" t="str">
        <x:v>Day3</x:v>
      </x:c>
      <x:c r="B15" s="2" t="str">
        <x:v>下肢后侧链优先</x:v>
      </x:c>
      <x:c r="C15" s="2" t="n">
        <x:v>1</x:v>
      </x:c>
      <x:c r="D15" s="2" t="str">
        <x:v>单腿硬拉</x:v>
      </x:c>
      <x:c r="E15" s="2" t="str">
        <x:v>单腿硬拉</x:v>
      </x:c>
      <x:c r="F15" s="2" t="str">
        <x:v>功能单侧</x:v>
      </x:c>
      <x:c r="G15" s="2" t="str">
        <x:v>髋/臀/腘绳/骨盆稳定</x:v>
      </x:c>
      <x:c r="H15" s="2" t="str">
        <x:v>3组×每侧12次（产品执行默认）</x:v>
      </x:c>
      <x:c r="I15" s="2" t="str">
        <x:v>前期不到力竭</x:v>
      </x:c>
      <x:c r="J15" s="2" t="str">
        <x:v>calibration-only；只调整reference_weight</x:v>
      </x:c>
      <x:c r="K15" s="2" t="str">
        <x:v>不稳可轻扶</x:v>
      </x:c>
      <x:c r="L15" s="2" t="str">
        <x:v>高</x:v>
      </x:c>
      <x:c r="M15" s="2" t="str">
        <x:v>高</x:v>
      </x:c>
      <x:c r="N15" s="2" t="str">
        <x:v>动作顺序、开发稳定性、前期不到力竭为方法真值；组次为Pawside V1产品执行默认。</x:v>
      </x:c>
      <x:c r="O15" s="58" t="str">
        <x:v>方法原文明示 + Pawside V1产品执行默认</x:v>
      </x:c>
      <x:c r="P15" s="58" t="str">
        <x:v>EV-LOWER-001;EV-P0-DAY3-DEFAULT</x:v>
      </x:c>
      <x:c r="Q15" s="58" t="str">
        <x:v>字段级混合：method_explicit + product_execution_default</x:v>
      </x:c>
      <x:c r="R15" s="58" t="str">
        <x:v>生效</x:v>
      </x:c>
      <x:c r="S15" s="58" t="str">
        <x:v>是</x:v>
      </x:c>
      <x:c r="T15" s="58" t="str">
        <x:v>method_split_exercises + method_rules(calibration)</x:v>
      </x:c>
    </x:row>
    <x:row r="16">
      <x:c r="A16" s="2" t="str">
        <x:v>Day3</x:v>
      </x:c>
      <x:c r="B16" s="2" t="str">
        <x:v>下肢后侧链优先</x:v>
      </x:c>
      <x:c r="C16" s="2" t="n">
        <x:v>2</x:v>
      </x:c>
      <x:c r="D16" s="2" t="str">
        <x:v>保加利亚蹲</x:v>
      </x:c>
      <x:c r="E16" s="2" t="str">
        <x:v>保加利亚分腿蹲</x:v>
      </x:c>
      <x:c r="F16" s="2" t="str">
        <x:v>功能单侧</x:v>
      </x:c>
      <x:c r="G16" s="2" t="str">
        <x:v>骨盆稳定/臀中臀小</x:v>
      </x:c>
      <x:c r="H16" s="2" t="str">
        <x:v>3组×每侧10–12次（产品执行默认）</x:v>
      </x:c>
      <x:c r="I16" s="2" t="str">
        <x:v>前期不到力竭</x:v>
      </x:c>
      <x:c r="J16" s="2" t="str">
        <x:v>calibration-only；只调整reference_weight</x:v>
      </x:c>
      <x:c r="K16" s="2" t="str">
        <x:v>按稳定性调整</x:v>
      </x:c>
      <x:c r="L16" s="2" t="str">
        <x:v>高</x:v>
      </x:c>
      <x:c r="M16" s="2" t="str">
        <x:v>中高</x:v>
      </x:c>
      <x:c r="N16" s="2" t="str">
        <x:v>动作顺序、单腿不稳定模式、前期不到力竭为方法真值；组次为Pawside V1产品执行默认。</x:v>
      </x:c>
      <x:c r="O16" s="58" t="str">
        <x:v>方法原文明示 + Pawside V1产品执行默认</x:v>
      </x:c>
      <x:c r="P16" s="58" t="str">
        <x:v>EV-LOWER-001;EV-P0-DAY3-DEFAULT</x:v>
      </x:c>
      <x:c r="Q16" s="58" t="str">
        <x:v>字段级混合：method_explicit + product_execution_default</x:v>
      </x:c>
      <x:c r="R16" s="58" t="str">
        <x:v>生效</x:v>
      </x:c>
      <x:c r="S16" s="58" t="str">
        <x:v>是</x:v>
      </x:c>
      <x:c r="T16" s="58" t="str">
        <x:v>method_split_exercises + method_rules(calibration)</x:v>
      </x:c>
    </x:row>
    <x:row r="17">
      <x:c r="A17" s="2" t="str">
        <x:v>Day3</x:v>
      </x:c>
      <x:c r="B17" s="2" t="str">
        <x:v>下肢后侧链优先</x:v>
      </x:c>
      <x:c r="C17" s="2" t="n">
        <x:v>3</x:v>
      </x:c>
      <x:c r="D17" s="2" t="str">
        <x:v>颈前深蹲</x:v>
      </x:c>
      <x:c r="E17" s="2" t="str">
        <x:v>前蹲/颈前深蹲</x:v>
      </x:c>
      <x:c r="F17" s="2" t="str">
        <x:v>复合功能</x:v>
      </x:c>
      <x:c r="G17" s="2" t="str">
        <x:v>股四头/全身功能</x:v>
      </x:c>
      <x:c r="H17" s="2" t="str">
        <x:v>3组（方法明确）×12–15次（产品执行默认）</x:v>
      </x:c>
      <x:c r="I17" s="2" t="str">
        <x:v>前期不到力竭</x:v>
      </x:c>
      <x:c r="J17" s="2" t="str">
        <x:v>calibration-only；只调整reference_weight</x:v>
      </x:c>
      <x:c r="K17" s="2"/>
      <x:c r="L17" s="2" t="str">
        <x:v>高</x:v>
      </x:c>
      <x:c r="M17" s="2" t="str">
        <x:v>高</x:v>
      </x:c>
      <x:c r="N17" s="2" t="str">
        <x:v>3组为方法真值；12–15次为Pawside V1产品执行默认。</x:v>
      </x:c>
      <x:c r="O17" s="58" t="str">
        <x:v>方法原文明示 + Pawside V1产品执行默认</x:v>
      </x:c>
      <x:c r="P17" s="58" t="str">
        <x:v>EV-LOWER-001;EV-OFF-V009;EV-P0-DAY3-DEFAULT</x:v>
      </x:c>
      <x:c r="Q17" s="58" t="str">
        <x:v>字段级混合：method_explicit + product_execution_default</x:v>
      </x:c>
      <x:c r="R17" s="58" t="str">
        <x:v>生效</x:v>
      </x:c>
      <x:c r="S17" s="58" t="str">
        <x:v>是</x:v>
      </x:c>
      <x:c r="T17" s="58" t="str">
        <x:v>method_split_exercises + method_rules(calibration)</x:v>
      </x:c>
    </x:row>
    <x:row r="18">
      <x:c r="A18" s="2" t="str">
        <x:v>Day3</x:v>
      </x:c>
      <x:c r="B18" s="2" t="str">
        <x:v>下肢后侧链优先</x:v>
      </x:c>
      <x:c r="C18" s="2" t="n">
        <x:v>4</x:v>
      </x:c>
      <x:c r="D18" s="2" t="str">
        <x:v>罗马尼亚硬拉</x:v>
      </x:c>
      <x:c r="E18" s="2" t="str">
        <x:v>罗马尼亚硬拉</x:v>
      </x:c>
      <x:c r="F18" s="2" t="str">
        <x:v>复合后侧链</x:v>
      </x:c>
      <x:c r="G18" s="2" t="str">
        <x:v>髋铰链/臀/腘绳/刚性</x:v>
      </x:c>
      <x:c r="H18" s="2" t="str">
        <x:v>3组（方法明确）×10–12次（产品执行默认）</x:v>
      </x:c>
      <x:c r="I18" s="2" t="str">
        <x:v>前期不到力竭；技术优先</x:v>
      </x:c>
      <x:c r="J18" s="2" t="str">
        <x:v>calibration-only；只调整reference_weight</x:v>
      </x:c>
      <x:c r="K18" s="2"/>
      <x:c r="L18" s="2" t="str">
        <x:v>高</x:v>
      </x:c>
      <x:c r="M18" s="2" t="str">
        <x:v>高</x:v>
      </x:c>
      <x:c r="N18" s="2" t="str">
        <x:v>3组为方法真值；10–12次为Pawside V1产品执行默认。</x:v>
      </x:c>
      <x:c r="O18" s="58" t="str">
        <x:v>方法原文明示 + Pawside V1产品执行默认</x:v>
      </x:c>
      <x:c r="P18" s="58" t="str">
        <x:v>EV-LOWER-001;EV-OFF-V009;EV-P0-DAY3-DEFAULT</x:v>
      </x:c>
      <x:c r="Q18" s="58" t="str">
        <x:v>字段级混合：method_explicit + product_execution_default</x:v>
      </x:c>
      <x:c r="R18" s="58" t="str">
        <x:v>生效</x:v>
      </x:c>
      <x:c r="S18" s="58" t="str">
        <x:v>是</x:v>
      </x:c>
      <x:c r="T18" s="58" t="str">
        <x:v>method_split_exercises + method_rules(calibration)</x:v>
      </x:c>
    </x:row>
    <x:row r="19">
      <x:c r="A19" s="2" t="str">
        <x:v>Day3</x:v>
      </x:c>
      <x:c r="B19" s="2" t="str">
        <x:v>下肢后侧链优先</x:v>
      </x:c>
      <x:c r="C19" s="2" t="n">
        <x:v>5</x:v>
      </x:c>
      <x:c r="D19" s="2" t="str">
        <x:v>山羊挺身 / 上仰挺身</x:v>
      </x:c>
      <x:c r="E19" s="2" t="str">
        <x:v>山羊挺身</x:v>
      </x:c>
      <x:c r="F19" s="2" t="str">
        <x:v>后侧链</x:v>
      </x:c>
      <x:c r="G19" s="2" t="str">
        <x:v>竖脊肌+后侧链</x:v>
      </x:c>
      <x:c r="H19" s="2" t="str">
        <x:v>3组×8次（方法明确）</x:v>
      </x:c>
      <x:c r="I19" s="2" t="str">
        <x:v>前期不到力竭</x:v>
      </x:c>
      <x:c r="J19" s="2" t="str">
        <x:v>calibration-only；长期方法递进仍待证据</x:v>
      </x:c>
      <x:c r="K19" s="2" t="str">
        <x:v>无器械可垫上替代</x:v>
      </x:c>
      <x:c r="L19" s="2" t="str">
        <x:v>高</x:v>
      </x:c>
      <x:c r="M19" s="2" t="str">
        <x:v>高</x:v>
      </x:c>
      <x:c r="N19" s="2" t="str">
        <x:v>3组×8次与前期不到力竭为方法真值；不构造长期阶段状态机。</x:v>
      </x:c>
      <x:c r="O19" s="58" t="str">
        <x:v>方法原文明示</x:v>
      </x:c>
      <x:c r="P19" s="58" t="str">
        <x:v>EV-LOWER-001;EV-OFF-V009</x:v>
      </x:c>
      <x:c r="Q19" s="58" t="str">
        <x:v>method_explicit</x:v>
      </x:c>
      <x:c r="R19" s="58" t="str">
        <x:v>生效</x:v>
      </x:c>
      <x:c r="S19" s="58" t="str">
        <x:v>是</x:v>
      </x:c>
      <x:c r="T19" s="58" t="str">
        <x:v>method_split_exercises + method_rules(calibration)</x:v>
      </x:c>
    </x:row>
  </x:sheetData>
  <x:mergeCells>
    <x:mergeCell ref="A1:N1"/>
    <x:mergeCell ref="A2:N2"/>
  </x:mergeCells>
  <x:dataValidations count="3">
    <x:dataValidation type="list" sqref="R5:R200">
      <x:formula1>"生效,待确认,待核验,待补证据,不导入,归档"</x:formula1>
    </x:dataValidation>
    <x:dataValidation type="list" sqref="S5:S200">
      <x:formula1>"是,部分,否"</x:formula1>
    </x:dataValidation>
    <x:dataValidation type="list" sqref="O5:O200">
      <x:formula1>"方法原文明示,方法原文部分明确,方法原文推导,方法原文明示/细则不足,产品适应策略,用户确认,待确认"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4"/>
  <x:cols>
    <x:col min="1" max="1" width="24" customWidth="1"/>
    <x:col min="2" max="2" width="8" customWidth="1"/>
    <x:col min="3" max="3" width="16" customWidth="1"/>
    <x:col min="4" max="4" width="38" customWidth="1"/>
    <x:col min="5" max="6" width="34" customWidth="1"/>
    <x:col min="7" max="7" width="26" customWidth="1"/>
    <x:col min="8" max="8" width="30" customWidth="1"/>
    <x:col min="9" max="9" width="26" customWidth="1"/>
    <x:col min="10" max="10" width="38" customWidth="1"/>
    <x:col min="11" max="12" width="32" customWidth="1"/>
    <x:col min="13" max="13" width="24" customWidth="1"/>
    <x:col min="14" max="14" width="22" customWidth="1"/>
    <x:col min="15" max="15" width="34" customWidth="1"/>
    <x:col min="16" max="16" width="14" customWidth="1"/>
    <x:col min="17" max="17" width="36" customWidth="1"/>
    <x:col min="18" max="18" width="20" hidden="0" customWidth="1"/>
    <x:col min="19" max="19" width="22" hidden="0" customWidth="1"/>
    <x:col min="20" max="20" width="16" hidden="0" customWidth="1"/>
    <x:col min="21" max="21" width="14" hidden="0" customWidth="1"/>
    <x:col min="22" max="22" width="10" hidden="0" customWidth="1"/>
    <x:col min="23" max="23" width="30" hidden="0" customWidth="1"/>
  </x:cols>
  <x:sheetData>
    <x:row r="1" ht="20" customHeight="1">
      <x:c r="A1" s="11" t="s">
        <x:v>180</x:v>
      </x:c>
      <x:c r="B1" s="12"/>
      <x:c r="C1" s="12"/>
      <x:c r="D1" s="12"/>
      <x:c r="E1" s="12"/>
      <x:c r="F1" s="12"/>
      <x:c r="G1" s="12"/>
      <x:c r="H1" s="12"/>
      <x:c r="I1" s="12"/>
      <x:c r="J1" s="12"/>
      <x:c r="K1" s="12"/>
      <x:c r="L1" s="12"/>
      <x:c r="M1" s="12"/>
      <x:c r="N1" s="12"/>
      <x:c r="O1" s="12"/>
      <x:c r="P1" s="12"/>
      <x:c r="Q1" s="12"/>
    </x:row>
    <x:row r="2" ht="22.649999618530273" customHeight="1">
      <x:c r="A2" s="34" t="s">
        <x:v>181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</x:row>
    <x:row r="4">
      <x:c r="A4" s="1" t="s">
        <x:v>182</x:v>
      </x:c>
      <x:c r="B4" s="1" t="s">
        <x:v>104</x:v>
      </x:c>
      <x:c r="C4" s="1" t="s">
        <x:v>109</x:v>
      </x:c>
      <x:c r="D4" s="1" t="s">
        <x:v>183</x:v>
      </x:c>
      <x:c r="E4" s="1" t="s">
        <x:v>184</x:v>
      </x:c>
      <x:c r="F4" s="1" t="s">
        <x:v>185</x:v>
      </x:c>
      <x:c r="G4" s="1" t="s">
        <x:v>186</x:v>
      </x:c>
      <x:c r="H4" s="1" t="s">
        <x:v>187</x:v>
      </x:c>
      <x:c r="I4" s="1" t="s">
        <x:v>188</x:v>
      </x:c>
      <x:c r="J4" s="1" t="s">
        <x:v>189</x:v>
      </x:c>
      <x:c r="K4" s="1" t="s">
        <x:v>190</x:v>
      </x:c>
      <x:c r="L4" s="1" t="s">
        <x:v>191</x:v>
      </x:c>
      <x:c r="M4" s="1" t="s">
        <x:v>111</x:v>
      </x:c>
      <x:c r="N4" s="1" t="s">
        <x:v>30</x:v>
      </x:c>
      <x:c r="O4" s="1" t="s">
        <x:v>192</x:v>
      </x:c>
      <x:c r="P4" s="1" t="s">
        <x:v>193</x:v>
      </x:c>
      <x:c r="Q4" s="1" t="s">
        <x:v>9</x:v>
      </x:c>
      <x:c r="R4" s="86" t="str">
        <x:v>规则来源</x:v>
      </x:c>
      <x:c r="S4" s="86" t="str">
        <x:v>EvidenceID</x:v>
      </x:c>
      <x:c r="T4" s="86" t="str">
        <x:v>运行时权威</x:v>
      </x:c>
      <x:c r="U4" s="86" t="str">
        <x:v>Canonical状态</x:v>
      </x:c>
      <x:c r="V4" s="86" t="str">
        <x:v>可导入</x:v>
      </x:c>
      <x:c r="W4" s="86" t="str">
        <x:v>目标DB</x:v>
      </x:c>
    </x:row>
    <x:row r="5" ht="25">
      <x:c r="A5" s="2" t="s">
        <x:v>118</x:v>
      </x:c>
      <x:c r="B5" s="2" t="s">
        <x:v>116</x:v>
      </x:c>
      <x:c r="C5" s="2" t="s">
        <x:v>119</x:v>
      </x:c>
      <x:c r="D5" s="2" t="s">
        <x:v>194</x:v>
      </x:c>
      <x:c r="E5" s="2" t="s">
        <x:v>195</x:v>
      </x:c>
      <x:c r="F5" s="2" t="s">
        <x:v>196</x:v>
      </x:c>
      <x:c r="G5" s="2" t="s">
        <x:v>197</x:v>
      </x:c>
      <x:c r="H5" s="2" t="str">
        <x:v>以肩关节舒适、躯干稳定为前提的个体有效幅度；不追求统一最低点</x:v>
      </x:c>
      <x:c r="I5" s="2" t="s">
        <x:v>198</x:v>
      </x:c>
      <x:c r="J5" s="2" t="s">
        <x:v>199</x:v>
      </x:c>
      <x:c r="K5" s="2" t="str">
        <x:v>出现明显肩部不适时先减小幅度/停止并记录，不用“触胸”作为硬标准</x:v>
      </x:c>
      <x:c r="L5" s="2" t="s">
        <x:v>200</x:v>
      </x:c>
      <x:c r="M5" s="2" t="s">
        <x:v>201</x:v>
      </x:c>
      <x:c r="N5" s="2" t="s">
        <x:v>145</x:v>
      </x:c>
      <x:c r="O5" s="2" t="s">
        <x:v>202</x:v>
      </x:c>
      <x:c r="P5" s="2" t="s">
        <x:v>203</x:v>
      </x:c>
      <x:c r="Q5" s="2" t="s">
        <x:v>204</x:v>
      </x:c>
      <x:c r="R5" s="58" t="str">
        <x:v>方法原文明示</x:v>
      </x:c>
      <x:c r="S5" s="58" t="str">
        <x:v>EV-BENCH-CUE-001;EV-OFF-V003</x:v>
      </x:c>
      <x:c r="T5" s="58" t="str">
        <x:v>方法真值</x:v>
      </x:c>
      <x:c r="U5" s="58" t="str">
        <x:v>生效</x:v>
      </x:c>
      <x:c r="V5" s="58" t="str">
        <x:v>是</x:v>
      </x:c>
      <x:c r="W5" s="58" t="str">
        <x:v>method_rules(technique)</x:v>
      </x:c>
    </x:row>
    <x:row r="6">
      <x:c r="A6" s="2" t="s">
        <x:v>126</x:v>
      </x:c>
      <x:c r="B6" s="2" t="s">
        <x:v>116</x:v>
      </x:c>
      <x:c r="C6" s="2" t="s">
        <x:v>127</x:v>
      </x:c>
      <x:c r="D6" s="2" t="str">
        <x:v>凳角约45°，实际角度随起桥/身体与器械档位微调；胸腔进气；不要刻意沉肩</x:v>
      </x:c>
      <x:c r="E6" s="2" t="s">
        <x:v>205</x:v>
      </x:c>
      <x:c r="F6" s="2" t="s">
        <x:v>206</x:v>
      </x:c>
      <x:c r="G6" s="2" t="s">
        <x:v>207</x:v>
      </x:c>
      <x:c r="H6" s="2" t="s">
        <x:v>208</x:v>
      </x:c>
      <x:c r="I6" s="2" t="s">
        <x:v>209</x:v>
      </x:c>
      <x:c r="J6" s="2" t="s">
        <x:v>210</x:v>
      </x:c>
      <x:c r="K6" s="2" t="s">
        <x:v>211</x:v>
      </x:c>
      <x:c r="L6" s="2" t="s">
        <x:v>177</x:v>
      </x:c>
      <x:c r="M6" s="2" t="s">
        <x:v>129</x:v>
      </x:c>
      <x:c r="N6" s="2" t="s">
        <x:v>212</x:v>
      </x:c>
      <x:c r="O6" s="2" t="s">
        <x:v>213</x:v>
      </x:c>
      <x:c r="P6" s="2" t="s">
        <x:v>203</x:v>
      </x:c>
      <x:c r="Q6" s="2" t="s">
        <x:v>214</x:v>
      </x:c>
      <x:c r="R6" s="58" t="str">
        <x:v>方法原文明示</x:v>
      </x:c>
      <x:c r="S6" s="58" t="str">
        <x:v>EV-INC-CUE-001;EV-OFF-V004</x:v>
      </x:c>
      <x:c r="T6" s="58" t="str">
        <x:v>方法真值</x:v>
      </x:c>
      <x:c r="U6" s="58" t="str">
        <x:v>生效</x:v>
      </x:c>
      <x:c r="V6" s="58" t="str">
        <x:v>是</x:v>
      </x:c>
      <x:c r="W6" s="58" t="str">
        <x:v>method_rules(technique)</x:v>
      </x:c>
    </x:row>
    <x:row r="7">
      <x:c r="A7" s="2" t="s">
        <x:v>133</x:v>
      </x:c>
      <x:c r="B7" s="2" t="s">
        <x:v>116</x:v>
      </x:c>
      <x:c r="C7" s="2" t="s">
        <x:v>127</x:v>
      </x:c>
      <x:c r="D7" s="2" t="s">
        <x:v>215</x:v>
      </x:c>
      <x:c r="E7" s="2" t="s">
        <x:v>216</x:v>
      </x:c>
      <x:c r="F7" s="2" t="s">
        <x:v>217</x:v>
      </x:c>
      <x:c r="G7" s="2" t="s">
        <x:v>177</x:v>
      </x:c>
      <x:c r="H7" s="2" t="s">
        <x:v>218</x:v>
      </x:c>
      <x:c r="I7" s="2" t="s">
        <x:v>219</x:v>
      </x:c>
      <x:c r="J7" s="2" t="s">
        <x:v>220</x:v>
      </x:c>
      <x:c r="K7" s="2" t="s">
        <x:v>221</x:v>
      </x:c>
      <x:c r="L7" s="2" t="s">
        <x:v>222</x:v>
      </x:c>
      <x:c r="M7" s="2" t="s">
        <x:v>135</x:v>
      </x:c>
      <x:c r="N7" s="2" t="s">
        <x:v>136</x:v>
      </x:c>
      <x:c r="O7" s="2" t="s">
        <x:v>223</x:v>
      </x:c>
      <x:c r="P7" s="2" t="s">
        <x:v>203</x:v>
      </x:c>
      <x:c r="Q7" s="2" t="str">
        <x:v>跪垫+凳子支撑退阶；官方系列与原始合集共同确认</x:v>
      </x:c>
      <x:c r="R7" s="58" t="str">
        <x:v>方法原文明示</x:v>
      </x:c>
      <x:c r="S7" s="58" t="str">
        <x:v>EV-DIP-001;EV-OFF-V005</x:v>
      </x:c>
      <x:c r="T7" s="58" t="str">
        <x:v>方法真值</x:v>
      </x:c>
      <x:c r="U7" s="58" t="str">
        <x:v>生效</x:v>
      </x:c>
      <x:c r="V7" s="58" t="str">
        <x:v>是</x:v>
      </x:c>
      <x:c r="W7" s="58" t="str">
        <x:v>method_rules(technique/regression)</x:v>
      </x:c>
    </x:row>
    <x:row r="8">
      <x:c r="A8" s="2" t="s">
        <x:v>224</x:v>
      </x:c>
      <x:c r="B8" s="2" t="s">
        <x:v>116</x:v>
      </x:c>
      <x:c r="C8" s="2" t="s">
        <x:v>142</x:v>
      </x:c>
      <x:c r="D8" s="2" t="s">
        <x:v>225</x:v>
      </x:c>
      <x:c r="E8" s="2" t="s">
        <x:v>226</x:v>
      </x:c>
      <x:c r="F8" s="2" t="s">
        <x:v>227</x:v>
      </x:c>
      <x:c r="G8" s="2" t="s">
        <x:v>177</x:v>
      </x:c>
      <x:c r="H8" s="2" t="s">
        <x:v>228</x:v>
      </x:c>
      <x:c r="I8" s="2" t="s">
        <x:v>143</x:v>
      </x:c>
      <x:c r="J8" s="2" t="s">
        <x:v>229</x:v>
      </x:c>
      <x:c r="K8" s="2" t="s">
        <x:v>230</x:v>
      </x:c>
      <x:c r="L8" s="2" t="s">
        <x:v>231</x:v>
      </x:c>
      <x:c r="M8" s="2" t="s">
        <x:v>144</x:v>
      </x:c>
      <x:c r="N8" s="2" t="s">
        <x:v>145</x:v>
      </x:c>
      <x:c r="O8" s="2" t="s">
        <x:v>146</x:v>
      </x:c>
      <x:c r="P8" s="2" t="s">
        <x:v>203</x:v>
      </x:c>
      <x:c r="Q8" s="2" t="s">
        <x:v>232</x:v>
      </x:c>
      <x:c r="R8" s="58" t="str">
        <x:v>方法原文部分明确</x:v>
      </x:c>
      <x:c r="S8" s="58" t="str">
        <x:v>EV-TRI-001</x:v>
      </x:c>
      <x:c r="T8" s="58" t="str">
        <x:v>方法真值</x:v>
      </x:c>
      <x:c r="U8" s="58" t="str">
        <x:v>待补证据</x:v>
      </x:c>
      <x:c r="V8" s="58" t="str">
        <x:v>部分</x:v>
      </x:c>
      <x:c r="W8" s="58" t="str">
        <x:v>method_rules(technique)</x:v>
      </x:c>
    </x:row>
    <x:row r="9">
      <x:c r="A9" s="2" t="str">
        <x:v>Y字侧平举</x:v>
      </x:c>
      <x:c r="B9" s="2" t="s">
        <x:v>116</x:v>
      </x:c>
      <x:c r="C9" s="2" t="s">
        <x:v>148</x:v>
      </x:c>
      <x:c r="D9" s="2" t="s">
        <x:v>233</x:v>
      </x:c>
      <x:c r="E9" s="2" t="s">
        <x:v>234</x:v>
      </x:c>
      <x:c r="F9" s="2" t="s">
        <x:v>228</x:v>
      </x:c>
      <x:c r="G9" s="2" t="s">
        <x:v>235</x:v>
      </x:c>
      <x:c r="H9" s="2" t="str">
        <x:v>做到肩胛面附近，保持目标肌主导；具体画面以官方示范素材为准</x:v>
      </x:c>
      <x:c r="I9" s="2" t="s">
        <x:v>149</x:v>
      </x:c>
      <x:c r="J9" s="2" t="s">
        <x:v>236</x:v>
      </x:c>
      <x:c r="K9" s="2" t="s">
        <x:v>237</x:v>
      </x:c>
      <x:c r="L9" s="2" t="s">
        <x:v>238</x:v>
      </x:c>
      <x:c r="M9" s="2" t="s">
        <x:v>150</x:v>
      </x:c>
      <x:c r="N9" s="2" t="s">
        <x:v>239</x:v>
      </x:c>
      <x:c r="O9" s="2" t="s">
        <x:v>177</x:v>
      </x:c>
      <x:c r="P9" s="2" t="s">
        <x:v>203</x:v>
      </x:c>
      <x:c r="Q9" s="2" t="str">
        <x:v>Y字侧平举；3组10+10；官方独立详解可作Media</x:v>
      </x:c>
      <x:c r="R9" s="58" t="str">
        <x:v>方法原文明示+官方视频</x:v>
      </x:c>
      <x:c r="S9" s="58" t="str">
        <x:v>EV-LATRAISE-001;EV-OFF-V001</x:v>
      </x:c>
      <x:c r="T9" s="58" t="str">
        <x:v>方法真值</x:v>
      </x:c>
      <x:c r="U9" s="58" t="str">
        <x:v>生效</x:v>
      </x:c>
      <x:c r="V9" s="58" t="str">
        <x:v>是</x:v>
      </x:c>
      <x:c r="W9" s="58" t="str">
        <x:v>method_rules(technique)</x:v>
      </x:c>
    </x:row>
    <x:row r="10">
      <x:c r="A10" s="2" t="s">
        <x:v>156</x:v>
      </x:c>
      <x:c r="B10" s="2" t="s">
        <x:v>153</x:v>
      </x:c>
      <x:c r="C10" s="2" t="s">
        <x:v>240</x:v>
      </x:c>
      <x:c r="D10" s="2" t="str">
        <x:v>拉力方向尽量匹配背阔肌走向；对握/略反手；减少侧屈和旋转；胸椎可轻微屈曲；持续保持张力</x:v>
      </x:c>
      <x:c r="E10" s="2" t="s">
        <x:v>241</x:v>
      </x:c>
      <x:c r="F10" s="2" t="s">
        <x:v>242</x:v>
      </x:c>
      <x:c r="G10" s="2" t="s">
        <x:v>243</x:v>
      </x:c>
      <x:c r="H10" s="2" t="str">
        <x:v>不为追求行程把肩带完全送出去；以背阔持续张力和可控路径为准</x:v>
      </x:c>
      <x:c r="I10" s="2" t="s">
        <x:v>244</x:v>
      </x:c>
      <x:c r="J10" s="2" t="s">
        <x:v>245</x:v>
      </x:c>
      <x:c r="K10" s="2" t="s">
        <x:v>246</x:v>
      </x:c>
      <x:c r="L10" s="2" t="s">
        <x:v>238</x:v>
      </x:c>
      <x:c r="M10" s="2" t="s">
        <x:v>247</x:v>
      </x:c>
      <x:c r="N10" s="2" t="s">
        <x:v>248</x:v>
      </x:c>
      <x:c r="O10" s="2" t="s">
        <x:v>249</x:v>
      </x:c>
      <x:c r="P10" s="2" t="s">
        <x:v>203</x:v>
      </x:c>
      <x:c r="Q10" s="2" t="s">
        <x:v>250</x:v>
      </x:c>
      <x:c r="R10" s="58" t="str">
        <x:v>方法原文明示</x:v>
      </x:c>
      <x:c r="S10" s="58" t="str">
        <x:v>EV-PULL-CUE-001;EV-OFF-V002</x:v>
      </x:c>
      <x:c r="T10" s="58" t="str">
        <x:v>方法真值</x:v>
      </x:c>
      <x:c r="U10" s="58" t="str">
        <x:v>生效</x:v>
      </x:c>
      <x:c r="V10" s="58" t="str">
        <x:v>是</x:v>
      </x:c>
      <x:c r="W10" s="58" t="str">
        <x:v>method_rules(technique)</x:v>
      </x:c>
    </x:row>
    <x:row r="11">
      <x:c r="A11" s="2" t="s">
        <x:v>162</x:v>
      </x:c>
      <x:c r="B11" s="2" t="s">
        <x:v>153</x:v>
      </x:c>
      <x:c r="C11" s="2" t="s">
        <x:v>164</x:v>
      </x:c>
      <x:c r="D11" s="2" t="s">
        <x:v>251</x:v>
      </x:c>
      <x:c r="E11" s="2" t="s">
        <x:v>252</x:v>
      </x:c>
      <x:c r="F11" s="2" t="s">
        <x:v>253</x:v>
      </x:c>
      <x:c r="G11" s="2" t="s">
        <x:v>177</x:v>
      </x:c>
      <x:c r="H11" s="2" t="s">
        <x:v>228</x:v>
      </x:c>
      <x:c r="I11" s="2" t="s">
        <x:v>165</x:v>
      </x:c>
      <x:c r="J11" s="2" t="s">
        <x:v>254</x:v>
      </x:c>
      <x:c r="K11" s="2" t="s">
        <x:v>255</x:v>
      </x:c>
      <x:c r="L11" s="2" t="s">
        <x:v>238</x:v>
      </x:c>
      <x:c r="M11" s="2" t="s">
        <x:v>166</x:v>
      </x:c>
      <x:c r="N11" s="2" t="s">
        <x:v>256</x:v>
      </x:c>
      <x:c r="O11" s="2" t="s">
        <x:v>257</x:v>
      </x:c>
      <x:c r="P11" s="2" t="s">
        <x:v>203</x:v>
      </x:c>
      <x:c r="Q11" s="2" t="s">
        <x:v>258</x:v>
      </x:c>
      <x:c r="R11" s="58" t="str">
        <x:v>方法原文部分明确</x:v>
      </x:c>
      <x:c r="S11" s="58" t="str">
        <x:v>EV-PULL-002</x:v>
      </x:c>
      <x:c r="T11" s="58" t="str">
        <x:v>方法真值</x:v>
      </x:c>
      <x:c r="U11" s="58" t="str">
        <x:v>待补证据</x:v>
      </x:c>
      <x:c r="V11" s="58" t="str">
        <x:v>部分</x:v>
      </x:c>
      <x:c r="W11" s="58" t="str">
        <x:v>method_rules(technique)</x:v>
      </x:c>
    </x:row>
    <x:row r="12">
      <x:c r="A12" s="2" t="s">
        <x:v>169</x:v>
      </x:c>
      <x:c r="B12" s="2" t="s">
        <x:v>153</x:v>
      </x:c>
      <x:c r="C12" s="2" t="s">
        <x:v>164</x:v>
      </x:c>
      <x:c r="D12" s="2" t="s">
        <x:v>259</x:v>
      </x:c>
      <x:c r="E12" s="2" t="s">
        <x:v>260</x:v>
      </x:c>
      <x:c r="F12" s="2" t="s">
        <x:v>261</x:v>
      </x:c>
      <x:c r="G12" s="2" t="s">
        <x:v>177</x:v>
      </x:c>
      <x:c r="H12" s="2" t="s">
        <x:v>262</x:v>
      </x:c>
      <x:c r="I12" s="2" t="s">
        <x:v>158</x:v>
      </x:c>
      <x:c r="J12" s="2" t="s">
        <x:v>263</x:v>
      </x:c>
      <x:c r="K12" s="2" t="s">
        <x:v>264</x:v>
      </x:c>
      <x:c r="L12" s="2" t="s">
        <x:v>265</x:v>
      </x:c>
      <x:c r="M12" s="2" t="s">
        <x:v>266</x:v>
      </x:c>
      <x:c r="N12" s="2" t="s">
        <x:v>267</x:v>
      </x:c>
      <x:c r="O12" s="2" t="s">
        <x:v>268</x:v>
      </x:c>
      <x:c r="P12" s="2" t="s">
        <x:v>203</x:v>
      </x:c>
      <x:c r="Q12" s="2" t="s">
        <x:v>269</x:v>
      </x:c>
      <x:c r="R12" s="58" t="str">
        <x:v>方法原文明示</x:v>
      </x:c>
      <x:c r="S12" s="58" t="str">
        <x:v>EV-ROW-001</x:v>
      </x:c>
      <x:c r="T12" s="58" t="str">
        <x:v>方法真值</x:v>
      </x:c>
      <x:c r="U12" s="58" t="str">
        <x:v>生效</x:v>
      </x:c>
      <x:c r="V12" s="58" t="str">
        <x:v>是</x:v>
      </x:c>
      <x:c r="W12" s="58" t="str">
        <x:v>method_rules(technique)</x:v>
      </x:c>
    </x:row>
    <x:row r="13">
      <x:c r="A13" s="2" t="s">
        <x:v>175</x:v>
      </x:c>
      <x:c r="B13" s="2" t="s">
        <x:v>153</x:v>
      </x:c>
      <x:c r="C13" s="2" t="s">
        <x:v>176</x:v>
      </x:c>
      <x:c r="D13" s="2" t="s">
        <x:v>270</x:v>
      </x:c>
      <x:c r="E13" s="2" t="s">
        <x:v>271</x:v>
      </x:c>
      <x:c r="F13" s="2" t="s">
        <x:v>272</x:v>
      </x:c>
      <x:c r="G13" s="2" t="s">
        <x:v>177</x:v>
      </x:c>
      <x:c r="H13" s="2" t="s">
        <x:v>273</x:v>
      </x:c>
      <x:c r="I13" s="2" t="str">
        <x:v>中下斜方肌 / 肩胛后缩</x:v>
      </x:c>
      <x:c r="J13" s="2" t="s">
        <x:v>274</x:v>
      </x:c>
      <x:c r="K13" s="2" t="s">
        <x:v>275</x:v>
      </x:c>
      <x:c r="L13" s="2" t="s">
        <x:v>276</x:v>
      </x:c>
      <x:c r="M13" s="2" t="s">
        <x:v>177</x:v>
      </x:c>
      <x:c r="N13" s="2" t="s">
        <x:v>277</x:v>
      </x:c>
      <x:c r="O13" s="2" t="s">
        <x:v>177</x:v>
      </x:c>
      <x:c r="P13" s="2" t="s">
        <x:v>203</x:v>
      </x:c>
      <x:c r="Q13" s="2" t="str">
        <x:v>详细段落明确“练中下斜方肌”，肩胛内收，不抡甩；总览“上斜方”视为与专项上下文冲突</x:v>
      </x:c>
      <x:c r="R13" s="58" t="str">
        <x:v>方法原文明示+官方视频</x:v>
      </x:c>
      <x:c r="S13" s="58" t="str">
        <x:v>EV-ROW-002;EV-OFF-V007</x:v>
      </x:c>
      <x:c r="T13" s="58" t="str">
        <x:v>方法真值</x:v>
      </x:c>
      <x:c r="U13" s="58" t="str">
        <x:v>生效</x:v>
      </x:c>
      <x:c r="V13" s="58" t="str">
        <x:v>是</x:v>
      </x:c>
      <x:c r="W13" s="58" t="str">
        <x:v>method_rules(technique)</x:v>
      </x:c>
    </x:row>
    <x:row r="14">
      <x:c r="A14" s="2" t="str">
        <x:v>坐姿肩屈位绳索弯举</x:v>
      </x:c>
      <x:c r="B14" s="2" t="s">
        <x:v>153</x:v>
      </x:c>
      <x:c r="C14" s="2" t="s">
        <x:v>148</x:v>
      </x:c>
      <x:c r="D14" s="2" t="s">
        <x:v>225</x:v>
      </x:c>
      <x:c r="E14" s="2" t="s">
        <x:v>278</x:v>
      </x:c>
      <x:c r="F14" s="2" t="s">
        <x:v>228</x:v>
      </x:c>
      <x:c r="G14" s="2" t="s">
        <x:v>177</x:v>
      </x:c>
      <x:c r="H14" s="2" t="s">
        <x:v>228</x:v>
      </x:c>
      <x:c r="I14" s="2" t="s">
        <x:v>279</x:v>
      </x:c>
      <x:c r="J14" s="2" t="str">
        <x:v>动作身份已确认；首轮精确组次/递进仍待方法证据</x:v>
      </x:c>
      <x:c r="K14" s="2" t="s">
        <x:v>280</x:v>
      </x:c>
      <x:c r="L14" s="2" t="s">
        <x:v>281</x:v>
      </x:c>
      <x:c r="M14" s="2" t="s">
        <x:v>177</x:v>
      </x:c>
      <x:c r="N14" s="2" t="s">
        <x:v>177</x:v>
      </x:c>
      <x:c r="O14" s="2" t="s">
        <x:v>282</x:v>
      </x:c>
      <x:c r="P14" s="2" t="s">
        <x:v>203</x:v>
      </x:c>
      <x:c r="Q14" s="2" t="s">
        <x:v>283</x:v>
      </x:c>
      <x:c r="R14" s="58" t="str">
        <x:v>方法原文部分明确</x:v>
      </x:c>
      <x:c r="S14" s="58" t="str">
        <x:v>EV-CURL-001;EV-OFF-V006</x:v>
      </x:c>
      <x:c r="T14" s="58" t="str">
        <x:v>方法真值</x:v>
      </x:c>
      <x:c r="U14" s="58" t="str">
        <x:v>待补证据</x:v>
      </x:c>
      <x:c r="V14" s="58" t="str">
        <x:v>否</x:v>
      </x:c>
      <x:c r="W14" s="58" t="str">
        <x:v>method_rules(technique)</x:v>
      </x:c>
    </x:row>
    <x:row r="15">
      <x:c r="A15" s="2" t="s">
        <x:v>284</x:v>
      </x:c>
      <x:c r="B15" s="2" t="s">
        <x:v>285</x:v>
      </x:c>
      <x:c r="C15" s="2" t="s">
        <x:v>286</x:v>
      </x:c>
      <x:c r="D15" s="2" t="s">
        <x:v>287</x:v>
      </x:c>
      <x:c r="E15" s="2" t="s">
        <x:v>288</x:v>
      </x:c>
      <x:c r="F15" s="2" t="s">
        <x:v>289</x:v>
      </x:c>
      <x:c r="G15" s="2" t="s">
        <x:v>177</x:v>
      </x:c>
      <x:c r="H15" s="2" t="s">
        <x:v>290</x:v>
      </x:c>
      <x:c r="I15" s="2" t="s">
        <x:v>291</x:v>
      </x:c>
      <x:c r="J15" s="2" t="s">
        <x:v>292</x:v>
      </x:c>
      <x:c r="K15" s="2" t="s">
        <x:v>293</x:v>
      </x:c>
      <x:c r="L15" s="2" t="s">
        <x:v>294</x:v>
      </x:c>
      <x:c r="M15" s="2" t="s">
        <x:v>295</x:v>
      </x:c>
      <x:c r="N15" s="2" t="s">
        <x:v>296</x:v>
      </x:c>
      <x:c r="O15" s="2" t="s">
        <x:v>297</x:v>
      </x:c>
      <x:c r="P15" s="2" t="s">
        <x:v>203</x:v>
      </x:c>
      <x:c r="Q15" s="2" t="s">
        <x:v>298</x:v>
      </x:c>
      <x:c r="R15" s="58" t="str">
        <x:v>方法原文明示</x:v>
      </x:c>
      <x:c r="S15" s="58" t="str">
        <x:v>EV-SLRDL-CUE-001</x:v>
      </x:c>
      <x:c r="T15" s="58" t="str">
        <x:v>方法真值</x:v>
      </x:c>
      <x:c r="U15" s="58" t="str">
        <x:v>生效</x:v>
      </x:c>
      <x:c r="V15" s="58" t="str">
        <x:v>部分</x:v>
      </x:c>
      <x:c r="W15" s="58" t="str">
        <x:v>method_rules(technique)</x:v>
      </x:c>
    </x:row>
    <x:row r="16">
      <x:c r="A16" s="2" t="s">
        <x:v>299</x:v>
      </x:c>
      <x:c r="B16" s="2" t="s">
        <x:v>285</x:v>
      </x:c>
      <x:c r="C16" s="2" t="s">
        <x:v>286</x:v>
      </x:c>
      <x:c r="D16" s="2" t="s">
        <x:v>300</x:v>
      </x:c>
      <x:c r="E16" s="2" t="s">
        <x:v>253</x:v>
      </x:c>
      <x:c r="F16" s="2" t="s">
        <x:v>253</x:v>
      </x:c>
      <x:c r="G16" s="2" t="s">
        <x:v>253</x:v>
      </x:c>
      <x:c r="H16" s="2" t="s">
        <x:v>253</x:v>
      </x:c>
      <x:c r="I16" s="2" t="s">
        <x:v>301</x:v>
      </x:c>
      <x:c r="J16" s="2" t="s">
        <x:v>253</x:v>
      </x:c>
      <x:c r="K16" s="2" t="s">
        <x:v>302</x:v>
      </x:c>
      <x:c r="L16" s="2" t="s">
        <x:v>303</x:v>
      </x:c>
      <x:c r="M16" s="2" t="s">
        <x:v>177</x:v>
      </x:c>
      <x:c r="N16" s="2" t="s">
        <x:v>296</x:v>
      </x:c>
      <x:c r="O16" s="2" t="s">
        <x:v>304</x:v>
      </x:c>
      <x:c r="P16" s="2" t="s">
        <x:v>203</x:v>
      </x:c>
      <x:c r="Q16" s="2" t="s">
        <x:v>305</x:v>
      </x:c>
      <x:c r="R16" s="58" t="str">
        <x:v>方法原文部分明确</x:v>
      </x:c>
      <x:c r="S16" s="58" t="str">
        <x:v>EV-LOWER-001</x:v>
      </x:c>
      <x:c r="T16" s="58" t="str">
        <x:v>方法真值</x:v>
      </x:c>
      <x:c r="U16" s="58" t="str">
        <x:v>待补证据</x:v>
      </x:c>
      <x:c r="V16" s="58" t="str">
        <x:v>部分</x:v>
      </x:c>
      <x:c r="W16" s="58" t="str">
        <x:v>method_rules(technique)</x:v>
      </x:c>
    </x:row>
    <x:row r="17">
      <x:c r="A17" s="2" t="s">
        <x:v>306</x:v>
      </x:c>
      <x:c r="B17" s="2" t="s">
        <x:v>285</x:v>
      </x:c>
      <x:c r="C17" s="2" t="s">
        <x:v>307</x:v>
      </x:c>
      <x:c r="D17" s="2" t="s">
        <x:v>300</x:v>
      </x:c>
      <x:c r="E17" s="2" t="s">
        <x:v>253</x:v>
      </x:c>
      <x:c r="F17" s="2" t="s">
        <x:v>253</x:v>
      </x:c>
      <x:c r="G17" s="2" t="s">
        <x:v>253</x:v>
      </x:c>
      <x:c r="H17" s="2" t="s">
        <x:v>253</x:v>
      </x:c>
      <x:c r="I17" s="2" t="s">
        <x:v>308</x:v>
      </x:c>
      <x:c r="J17" s="2" t="s">
        <x:v>309</x:v>
      </x:c>
      <x:c r="K17" s="2" t="s">
        <x:v>310</x:v>
      </x:c>
      <x:c r="L17" s="2" t="s">
        <x:v>303</x:v>
      </x:c>
      <x:c r="M17" s="2" t="str">
        <x:v>3组；具体次数待确认</x:v>
      </x:c>
      <x:c r="N17" s="2" t="s">
        <x:v>296</x:v>
      </x:c>
      <x:c r="O17" s="2" t="s">
        <x:v>311</x:v>
      </x:c>
      <x:c r="P17" s="2" t="s">
        <x:v>203</x:v>
      </x:c>
      <x:c r="Q17" s="2" t="s">
        <x:v>312</x:v>
      </x:c>
      <x:c r="R17" s="58" t="str">
        <x:v>方法原文部分明确</x:v>
      </x:c>
      <x:c r="S17" s="58" t="str">
        <x:v>EV-LOWER-001;EV-OFF-V009</x:v>
      </x:c>
      <x:c r="T17" s="58" t="str">
        <x:v>方法真值</x:v>
      </x:c>
      <x:c r="U17" s="58" t="str">
        <x:v>待补证据</x:v>
      </x:c>
      <x:c r="V17" s="58" t="str">
        <x:v>部分</x:v>
      </x:c>
      <x:c r="W17" s="58" t="str">
        <x:v>method_rules(technique)</x:v>
      </x:c>
    </x:row>
    <x:row r="18">
      <x:c r="A18" s="2" t="s">
        <x:v>313</x:v>
      </x:c>
      <x:c r="B18" s="2" t="s">
        <x:v>285</x:v>
      </x:c>
      <x:c r="C18" s="2" t="s">
        <x:v>314</x:v>
      </x:c>
      <x:c r="D18" s="2" t="s">
        <x:v>315</x:v>
      </x:c>
      <x:c r="E18" s="2" t="s">
        <x:v>316</x:v>
      </x:c>
      <x:c r="F18" s="2" t="s">
        <x:v>317</x:v>
      </x:c>
      <x:c r="G18" s="2" t="s">
        <x:v>253</x:v>
      </x:c>
      <x:c r="H18" s="2" t="s">
        <x:v>318</x:v>
      </x:c>
      <x:c r="I18" s="2" t="s">
        <x:v>319</x:v>
      </x:c>
      <x:c r="J18" s="2" t="s">
        <x:v>320</x:v>
      </x:c>
      <x:c r="K18" s="2" t="s">
        <x:v>321</x:v>
      </x:c>
      <x:c r="L18" s="2" t="s">
        <x:v>303</x:v>
      </x:c>
      <x:c r="M18" s="2" t="str">
        <x:v>3组；具体次数待确认</x:v>
      </x:c>
      <x:c r="N18" s="2" t="s">
        <x:v>311</x:v>
      </x:c>
      <x:c r="O18" s="2" t="s">
        <x:v>322</x:v>
      </x:c>
      <x:c r="P18" s="2" t="s">
        <x:v>203</x:v>
      </x:c>
      <x:c r="Q18" s="2" t="s">
        <x:v>323</x:v>
      </x:c>
      <x:c r="R18" s="58" t="str">
        <x:v>方法原文明示</x:v>
      </x:c>
      <x:c r="S18" s="58" t="str">
        <x:v>EV-RDL-CUE-001;EV-OFF-V009</x:v>
      </x:c>
      <x:c r="T18" s="58" t="str">
        <x:v>方法真值</x:v>
      </x:c>
      <x:c r="U18" s="58" t="str">
        <x:v>生效</x:v>
      </x:c>
      <x:c r="V18" s="58" t="str">
        <x:v>部分</x:v>
      </x:c>
      <x:c r="W18" s="58" t="str">
        <x:v>method_rules(technique)</x:v>
      </x:c>
    </x:row>
    <x:row r="19">
      <x:c r="A19" s="2" t="s">
        <x:v>324</x:v>
      </x:c>
      <x:c r="B19" s="2" t="s">
        <x:v>285</x:v>
      </x:c>
      <x:c r="C19" s="2" t="s">
        <x:v>325</x:v>
      </x:c>
      <x:c r="D19" s="2" t="s">
        <x:v>326</x:v>
      </x:c>
      <x:c r="E19" s="2" t="s">
        <x:v>327</x:v>
      </x:c>
      <x:c r="F19" s="2" t="s">
        <x:v>328</x:v>
      </x:c>
      <x:c r="G19" s="2" t="s">
        <x:v>177</x:v>
      </x:c>
      <x:c r="H19" s="2" t="s">
        <x:v>329</x:v>
      </x:c>
      <x:c r="I19" s="2" t="s">
        <x:v>330</x:v>
      </x:c>
      <x:c r="J19" s="2" t="s">
        <x:v>331</x:v>
      </x:c>
      <x:c r="K19" s="2" t="s">
        <x:v>332</x:v>
      </x:c>
      <x:c r="L19" s="2" t="s">
        <x:v>333</x:v>
      </x:c>
      <x:c r="M19" s="2" t="str">
        <x:v>3组；具体次数待确认</x:v>
      </x:c>
      <x:c r="N19" s="2" t="s">
        <x:v>296</x:v>
      </x:c>
      <x:c r="O19" s="2" t="s">
        <x:v>334</x:v>
      </x:c>
      <x:c r="P19" s="2" t="s">
        <x:v>203</x:v>
      </x:c>
      <x:c r="Q19" s="2" t="s">
        <x:v>335</x:v>
      </x:c>
      <x:c r="R19" s="58" t="str">
        <x:v>方法原文明示</x:v>
      </x:c>
      <x:c r="S19" s="58" t="str">
        <x:v>EV-BACKEXT-CUE-001;EV-OFF-V009</x:v>
      </x:c>
      <x:c r="T19" s="58" t="str">
        <x:v>方法真值</x:v>
      </x:c>
      <x:c r="U19" s="58" t="str">
        <x:v>生效</x:v>
      </x:c>
      <x:c r="V19" s="58" t="str">
        <x:v>部分</x:v>
      </x:c>
      <x:c r="W19" s="58" t="str">
        <x:v>method_rules(technique)</x:v>
      </x:c>
    </x:row>
  </x:sheetData>
  <x:mergeCells>
    <x:mergeCell ref="A1:Q1"/>
    <x:mergeCell ref="A2:Q2"/>
  </x:mergeCells>
  <x:dataValidations count="3">
    <x:dataValidation type="list" sqref="U5:U200">
      <x:formula1>"生效,待确认,待核验,待补证据,不导入,归档"</x:formula1>
    </x:dataValidation>
    <x:dataValidation type="list" sqref="V5:V200">
      <x:formula1>"是,部分,否"</x:formula1>
    </x:dataValidation>
    <x:dataValidation type="list" sqref="R5:R200">
      <x:formula1>"方法原文明示,方法原文部分明确,方法原文推导,方法原文明示/细则不足,产品适应策略,用户确认,待确认"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4"/>
  <x:cols>
    <x:col min="1" max="1" width="12" customWidth="1"/>
    <x:col min="2" max="2" width="20" customWidth="1"/>
    <x:col min="3" max="3" width="15" customWidth="1"/>
    <x:col min="4" max="4" width="28" customWidth="1"/>
    <x:col min="5" max="5" width="16" customWidth="1"/>
    <x:col min="6" max="6" width="36" customWidth="1"/>
    <x:col min="7" max="7" width="32" customWidth="1"/>
    <x:col min="8" max="9" width="26" customWidth="1"/>
    <x:col min="10" max="10" width="15" customWidth="1"/>
    <x:col min="11" max="11" width="18" customWidth="1"/>
    <x:col min="12" max="12" width="32" customWidth="1"/>
    <x:col min="13" max="13" width="26" customWidth="1"/>
    <x:col min="14" max="14" width="22" hidden="0" customWidth="1"/>
    <x:col min="15" max="15" width="22" hidden="0" customWidth="1"/>
    <x:col min="16" max="16" width="16" hidden="0" customWidth="1"/>
    <x:col min="17" max="17" width="14" hidden="0" customWidth="1"/>
    <x:col min="18" max="18" width="10" hidden="0" customWidth="1"/>
    <x:col min="19" max="19" width="28" hidden="0" customWidth="1"/>
  </x:cols>
  <x:sheetData>
    <x:row r="1" ht="20" customHeight="1">
      <x:c r="A1" s="11" t="s">
        <x:v>336</x:v>
      </x:c>
      <x:c r="B1" s="12"/>
      <x:c r="C1" s="12"/>
      <x:c r="D1" s="12"/>
      <x:c r="E1" s="12"/>
      <x:c r="F1" s="12"/>
      <x:c r="G1" s="12"/>
      <x:c r="H1" s="12"/>
      <x:c r="I1" s="12"/>
      <x:c r="J1" s="12"/>
      <x:c r="K1" s="12"/>
      <x:c r="L1" s="12"/>
      <x:c r="M1" s="12"/>
    </x:row>
    <x:row r="2" ht="22.649999618530273" customHeight="1">
      <x:c r="A2" s="34" t="s">
        <x:v>337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</x:row>
    <x:row r="4">
      <x:c r="A4" s="1" t="s">
        <x:v>338</x:v>
      </x:c>
      <x:c r="B4" s="1" t="s">
        <x:v>339</x:v>
      </x:c>
      <x:c r="C4" s="1" t="s">
        <x:v>340</x:v>
      </x:c>
      <x:c r="D4" s="1" t="s">
        <x:v>341</x:v>
      </x:c>
      <x:c r="E4" s="1" t="s">
        <x:v>342</x:v>
      </x:c>
      <x:c r="F4" s="1" t="s">
        <x:v>343</x:v>
      </x:c>
      <x:c r="G4" s="1" t="s">
        <x:v>344</x:v>
      </x:c>
      <x:c r="H4" s="1" t="s">
        <x:v>345</x:v>
      </x:c>
      <x:c r="I4" s="1" t="s">
        <x:v>346</x:v>
      </x:c>
      <x:c r="J4" s="1" t="s">
        <x:v>347</x:v>
      </x:c>
      <x:c r="K4" s="1" t="s">
        <x:v>348</x:v>
      </x:c>
      <x:c r="L4" s="1" t="s">
        <x:v>349</x:v>
      </x:c>
      <x:c r="M4" s="1" t="s">
        <x:v>10</x:v>
      </x:c>
      <x:c r="N4" s="86" t="str">
        <x:v>规则来源</x:v>
      </x:c>
      <x:c r="O4" s="86" t="str">
        <x:v>EvidenceID</x:v>
      </x:c>
      <x:c r="P4" s="86" t="str">
        <x:v>运行时权威</x:v>
      </x:c>
      <x:c r="Q4" s="86" t="str">
        <x:v>Canonical状态</x:v>
      </x:c>
      <x:c r="R4" s="86" t="str">
        <x:v>可导入</x:v>
      </x:c>
      <x:c r="S4" s="86" t="str">
        <x:v>目标DB</x:v>
      </x:c>
    </x:row>
    <x:row r="5">
      <x:c r="A5" s="2" t="s">
        <x:v>350</x:v>
      </x:c>
      <x:c r="B5" s="2" t="s">
        <x:v>118</x:v>
      </x:c>
      <x:c r="C5" s="2" t="s">
        <x:v>351</x:v>
      </x:c>
      <x:c r="D5" s="2" t="s">
        <x:v>201</x:v>
      </x:c>
      <x:c r="E5" s="2" t="s">
        <x:v>352</x:v>
      </x:c>
      <x:c r="F5" s="2" t="s">
        <x:v>353</x:v>
      </x:c>
      <x:c r="G5" s="2" t="s">
        <x:v>354</x:v>
      </x:c>
      <x:c r="H5" s="2" t="s">
        <x:v>355</x:v>
      </x:c>
      <x:c r="I5" s="2" t="s">
        <x:v>356</x:v>
      </x:c>
      <x:c r="J5" s="2" t="s">
        <x:v>17</x:v>
      </x:c>
      <x:c r="K5" s="2" t="s">
        <x:v>303</x:v>
      </x:c>
      <x:c r="L5" s="2"/>
      <x:c r="M5" s="2"/>
      <x:c r="N5" s="58" t="str">
        <x:v>方法原文明示</x:v>
      </x:c>
      <x:c r="O5" s="58" t="str">
        <x:v>见14_规则证据索引</x:v>
      </x:c>
      <x:c r="P5" s="58" t="str">
        <x:v>方法真值</x:v>
      </x:c>
      <x:c r="Q5" s="58" t="str">
        <x:v>生效</x:v>
      </x:c>
      <x:c r="R5" s="58" t="str">
        <x:v>是</x:v>
      </x:c>
      <x:c r="S5" s="58" t="str">
        <x:v>method_rules(progression)</x:v>
      </x:c>
    </x:row>
    <x:row r="6">
      <x:c r="A6" s="2" t="s">
        <x:v>357</x:v>
      </x:c>
      <x:c r="B6" s="2" t="s">
        <x:v>118</x:v>
      </x:c>
      <x:c r="C6" s="2" t="s">
        <x:v>358</x:v>
      </x:c>
      <x:c r="D6" s="2" t="s">
        <x:v>354</x:v>
      </x:c>
      <x:c r="E6" s="2" t="s">
        <x:v>352</x:v>
      </x:c>
      <x:c r="F6" s="2" t="s">
        <x:v>359</x:v>
      </x:c>
      <x:c r="G6" s="2" t="s">
        <x:v>360</x:v>
      </x:c>
      <x:c r="H6" s="2" t="s">
        <x:v>361</x:v>
      </x:c>
      <x:c r="I6" s="2" t="s">
        <x:v>359</x:v>
      </x:c>
      <x:c r="J6" s="2" t="s">
        <x:v>17</x:v>
      </x:c>
      <x:c r="K6" s="2" t="s">
        <x:v>303</x:v>
      </x:c>
      <x:c r="L6" s="2"/>
      <x:c r="M6" s="2"/>
      <x:c r="N6" s="58" t="str">
        <x:v>方法原文明示</x:v>
      </x:c>
      <x:c r="O6" s="58" t="str">
        <x:v>见14_规则证据索引</x:v>
      </x:c>
      <x:c r="P6" s="58" t="str">
        <x:v>方法真值</x:v>
      </x:c>
      <x:c r="Q6" s="58" t="str">
        <x:v>生效</x:v>
      </x:c>
      <x:c r="R6" s="58" t="str">
        <x:v>是</x:v>
      </x:c>
      <x:c r="S6" s="58" t="str">
        <x:v>method_rules(progression)</x:v>
      </x:c>
    </x:row>
    <x:row r="7">
      <x:c r="A7" s="2" t="s">
        <x:v>362</x:v>
      </x:c>
      <x:c r="B7" s="2" t="s">
        <x:v>118</x:v>
      </x:c>
      <x:c r="C7" s="2" t="s">
        <x:v>363</x:v>
      </x:c>
      <x:c r="D7" s="2" t="s">
        <x:v>360</x:v>
      </x:c>
      <x:c r="E7" s="2" t="s">
        <x:v>352</x:v>
      </x:c>
      <x:c r="F7" s="2" t="s">
        <x:v>364</x:v>
      </x:c>
      <x:c r="G7" s="2" t="s">
        <x:v>365</x:v>
      </x:c>
      <x:c r="H7" s="2" t="s">
        <x:v>361</x:v>
      </x:c>
      <x:c r="I7" s="2" t="s">
        <x:v>359</x:v>
      </x:c>
      <x:c r="J7" s="2" t="s">
        <x:v>17</x:v>
      </x:c>
      <x:c r="K7" s="2" t="s">
        <x:v>303</x:v>
      </x:c>
      <x:c r="L7" s="2"/>
      <x:c r="M7" s="2"/>
      <x:c r="N7" s="58" t="str">
        <x:v>方法原文明示</x:v>
      </x:c>
      <x:c r="O7" s="58" t="str">
        <x:v>见14_规则证据索引</x:v>
      </x:c>
      <x:c r="P7" s="58" t="str">
        <x:v>方法真值</x:v>
      </x:c>
      <x:c r="Q7" s="58" t="str">
        <x:v>生效</x:v>
      </x:c>
      <x:c r="R7" s="58" t="str">
        <x:v>是</x:v>
      </x:c>
      <x:c r="S7" s="58" t="str">
        <x:v>method_rules(progression)</x:v>
      </x:c>
    </x:row>
    <x:row r="8">
      <x:c r="A8" s="2" t="s">
        <x:v>366</x:v>
      </x:c>
      <x:c r="B8" s="2" t="s">
        <x:v>118</x:v>
      </x:c>
      <x:c r="C8" s="2" t="s">
        <x:v>365</x:v>
      </x:c>
      <x:c r="D8" s="2" t="s">
        <x:v>367</x:v>
      </x:c>
      <x:c r="E8" s="2" t="s">
        <x:v>352</x:v>
      </x:c>
      <x:c r="F8" s="2" t="s">
        <x:v>368</x:v>
      </x:c>
      <x:c r="G8" s="2" t="s">
        <x:v>369</x:v>
      </x:c>
      <x:c r="H8" s="2" t="s">
        <x:v>361</x:v>
      </x:c>
      <x:c r="I8" s="2" t="s">
        <x:v>359</x:v>
      </x:c>
      <x:c r="J8" s="2" t="s">
        <x:v>17</x:v>
      </x:c>
      <x:c r="K8" s="2" t="s">
        <x:v>303</x:v>
      </x:c>
      <x:c r="L8" s="2"/>
      <x:c r="M8" s="2"/>
      <x:c r="N8" s="58" t="str">
        <x:v>方法原文明示</x:v>
      </x:c>
      <x:c r="O8" s="58" t="str">
        <x:v>见14_规则证据索引</x:v>
      </x:c>
      <x:c r="P8" s="58" t="str">
        <x:v>方法真值</x:v>
      </x:c>
      <x:c r="Q8" s="58" t="str">
        <x:v>生效</x:v>
      </x:c>
      <x:c r="R8" s="58" t="str">
        <x:v>是</x:v>
      </x:c>
      <x:c r="S8" s="58" t="str">
        <x:v>method_rules(progression)</x:v>
      </x:c>
    </x:row>
    <x:row r="9">
      <x:c r="A9" s="2" t="s">
        <x:v>370</x:v>
      </x:c>
      <x:c r="B9" s="2" t="s">
        <x:v>118</x:v>
      </x:c>
      <x:c r="C9" s="2" t="s">
        <x:v>371</x:v>
      </x:c>
      <x:c r="D9" s="2" t="s">
        <x:v>372</x:v>
      </x:c>
      <x:c r="E9" s="2" t="s">
        <x:v>352</x:v>
      </x:c>
      <x:c r="F9" s="2" t="s">
        <x:v>368</x:v>
      </x:c>
      <x:c r="G9" s="2" t="s">
        <x:v>373</x:v>
      </x:c>
      <x:c r="H9" s="2" t="s">
        <x:v>374</x:v>
      </x:c>
      <x:c r="I9" s="2" t="s">
        <x:v>359</x:v>
      </x:c>
      <x:c r="J9" s="2" t="s">
        <x:v>17</x:v>
      </x:c>
      <x:c r="K9" s="2" t="s">
        <x:v>303</x:v>
      </x:c>
      <x:c r="L9" s="2"/>
      <x:c r="M9" s="2"/>
      <x:c r="N9" s="58" t="str">
        <x:v>方法原文明示</x:v>
      </x:c>
      <x:c r="O9" s="58" t="str">
        <x:v>见14_规则证据索引</x:v>
      </x:c>
      <x:c r="P9" s="58" t="str">
        <x:v>方法真值</x:v>
      </x:c>
      <x:c r="Q9" s="58" t="str">
        <x:v>生效</x:v>
      </x:c>
      <x:c r="R9" s="58" t="str">
        <x:v>是</x:v>
      </x:c>
      <x:c r="S9" s="58" t="str">
        <x:v>method_rules(progression)</x:v>
      </x:c>
    </x:row>
    <x:row r="10">
      <x:c r="A10" s="2" t="s">
        <x:v>375</x:v>
      </x:c>
      <x:c r="B10" s="2" t="s">
        <x:v>118</x:v>
      </x:c>
      <x:c r="C10" s="2" t="s">
        <x:v>376</x:v>
      </x:c>
      <x:c r="D10" s="2" t="s">
        <x:v>377</x:v>
      </x:c>
      <x:c r="E10" s="2" t="s">
        <x:v>352</x:v>
      </x:c>
      <x:c r="F10" s="2" t="s">
        <x:v>368</x:v>
      </x:c>
      <x:c r="G10" s="2" t="s">
        <x:v>378</x:v>
      </x:c>
      <x:c r="H10" s="2" t="s">
        <x:v>374</x:v>
      </x:c>
      <x:c r="I10" s="2" t="s">
        <x:v>359</x:v>
      </x:c>
      <x:c r="J10" s="2" t="s">
        <x:v>17</x:v>
      </x:c>
      <x:c r="K10" s="2" t="s">
        <x:v>303</x:v>
      </x:c>
      <x:c r="L10" s="2"/>
      <x:c r="M10" s="2"/>
      <x:c r="N10" s="58" t="str">
        <x:v>方法原文明示</x:v>
      </x:c>
      <x:c r="O10" s="58" t="str">
        <x:v>见14_规则证据索引</x:v>
      </x:c>
      <x:c r="P10" s="58" t="str">
        <x:v>方法真值</x:v>
      </x:c>
      <x:c r="Q10" s="58" t="str">
        <x:v>生效</x:v>
      </x:c>
      <x:c r="R10" s="58" t="str">
        <x:v>是</x:v>
      </x:c>
      <x:c r="S10" s="58" t="str">
        <x:v>method_rules(progression)</x:v>
      </x:c>
    </x:row>
    <x:row r="11">
      <x:c r="A11" s="2" t="s">
        <x:v>379</x:v>
      </x:c>
      <x:c r="B11" s="2" t="s">
        <x:v>118</x:v>
      </x:c>
      <x:c r="C11" s="2" t="s">
        <x:v>380</x:v>
      </x:c>
      <x:c r="D11" s="2" t="s">
        <x:v>381</x:v>
      </x:c>
      <x:c r="E11" s="2" t="s">
        <x:v>352</x:v>
      </x:c>
      <x:c r="F11" s="2" t="s">
        <x:v>368</x:v>
      </x:c>
      <x:c r="G11" s="2" t="s">
        <x:v>382</x:v>
      </x:c>
      <x:c r="H11" s="2" t="s">
        <x:v>383</x:v>
      </x:c>
      <x:c r="I11" s="2" t="s">
        <x:v>384</x:v>
      </x:c>
      <x:c r="J11" s="2" t="s">
        <x:v>17</x:v>
      </x:c>
      <x:c r="K11" s="2" t="s">
        <x:v>303</x:v>
      </x:c>
      <x:c r="L11" s="2"/>
      <x:c r="M11" s="2"/>
      <x:c r="N11" s="58" t="str">
        <x:v>方法原文明示</x:v>
      </x:c>
      <x:c r="O11" s="58" t="str">
        <x:v>见14_规则证据索引</x:v>
      </x:c>
      <x:c r="P11" s="58" t="str">
        <x:v>方法真值</x:v>
      </x:c>
      <x:c r="Q11" s="58" t="str">
        <x:v>生效</x:v>
      </x:c>
      <x:c r="R11" s="58" t="str">
        <x:v>是</x:v>
      </x:c>
      <x:c r="S11" s="58" t="str">
        <x:v>method_rules(progression)</x:v>
      </x:c>
    </x:row>
    <x:row r="12">
      <x:c r="A12" s="2" t="s">
        <x:v>385</x:v>
      </x:c>
      <x:c r="B12" s="2" t="s">
        <x:v>118</x:v>
      </x:c>
      <x:c r="C12" s="2" t="s">
        <x:v>386</x:v>
      </x:c>
      <x:c r="D12" s="2" t="s">
        <x:v>387</x:v>
      </x:c>
      <x:c r="E12" s="2" t="s">
        <x:v>352</x:v>
      </x:c>
      <x:c r="F12" s="2" t="s">
        <x:v>368</x:v>
      </x:c>
      <x:c r="G12" s="2" t="s">
        <x:v>388</x:v>
      </x:c>
      <x:c r="H12" s="2" t="s">
        <x:v>374</x:v>
      </x:c>
      <x:c r="I12" s="2" t="s">
        <x:v>359</x:v>
      </x:c>
      <x:c r="J12" s="2" t="s">
        <x:v>17</x:v>
      </x:c>
      <x:c r="K12" s="2" t="s">
        <x:v>303</x:v>
      </x:c>
      <x:c r="L12" s="2"/>
      <x:c r="M12" s="2"/>
      <x:c r="N12" s="58" t="str">
        <x:v>方法原文明示</x:v>
      </x:c>
      <x:c r="O12" s="58" t="str">
        <x:v>见14_规则证据索引</x:v>
      </x:c>
      <x:c r="P12" s="58" t="str">
        <x:v>方法真值</x:v>
      </x:c>
      <x:c r="Q12" s="58" t="str">
        <x:v>生效</x:v>
      </x:c>
      <x:c r="R12" s="58" t="str">
        <x:v>是</x:v>
      </x:c>
      <x:c r="S12" s="58" t="str">
        <x:v>method_rules(progression)</x:v>
      </x:c>
    </x:row>
    <x:row r="13">
      <x:c r="A13" s="2" t="s">
        <x:v>389</x:v>
      </x:c>
      <x:c r="B13" s="2" t="s">
        <x:v>118</x:v>
      </x:c>
      <x:c r="C13" s="2" t="s">
        <x:v>390</x:v>
      </x:c>
      <x:c r="D13" s="2" t="s">
        <x:v>391</x:v>
      </x:c>
      <x:c r="E13" s="2" t="s">
        <x:v>352</x:v>
      </x:c>
      <x:c r="F13" s="2" t="s">
        <x:v>368</x:v>
      </x:c>
      <x:c r="G13" s="2" t="s">
        <x:v>392</x:v>
      </x:c>
      <x:c r="H13" s="2" t="s">
        <x:v>374</x:v>
      </x:c>
      <x:c r="I13" s="2" t="s">
        <x:v>359</x:v>
      </x:c>
      <x:c r="J13" s="2" t="s">
        <x:v>17</x:v>
      </x:c>
      <x:c r="K13" s="2" t="s">
        <x:v>303</x:v>
      </x:c>
      <x:c r="L13" s="2"/>
      <x:c r="M13" s="2"/>
      <x:c r="N13" s="58" t="str">
        <x:v>方法原文明示</x:v>
      </x:c>
      <x:c r="O13" s="58" t="str">
        <x:v>见14_规则证据索引</x:v>
      </x:c>
      <x:c r="P13" s="58" t="str">
        <x:v>方法真值</x:v>
      </x:c>
      <x:c r="Q13" s="58" t="str">
        <x:v>生效</x:v>
      </x:c>
      <x:c r="R13" s="58" t="str">
        <x:v>是</x:v>
      </x:c>
      <x:c r="S13" s="58" t="str">
        <x:v>method_rules(progression)</x:v>
      </x:c>
    </x:row>
    <x:row r="14">
      <x:c r="A14" s="2" t="s">
        <x:v>393</x:v>
      </x:c>
      <x:c r="B14" s="2" t="s">
        <x:v>394</x:v>
      </x:c>
      <x:c r="C14" s="2" t="s">
        <x:v>351</x:v>
      </x:c>
      <x:c r="D14" s="2" t="s">
        <x:v>129</x:v>
      </x:c>
      <x:c r="E14" s="2" t="s">
        <x:v>395</x:v>
      </x:c>
      <x:c r="F14" s="2" t="s">
        <x:v>396</x:v>
      </x:c>
      <x:c r="G14" s="2" t="s">
        <x:v>397</x:v>
      </x:c>
      <x:c r="H14" s="2" t="s">
        <x:v>361</x:v>
      </x:c>
      <x:c r="I14" s="2" t="s">
        <x:v>356</x:v>
      </x:c>
      <x:c r="J14" s="2" t="s">
        <x:v>398</x:v>
      </x:c>
      <x:c r="K14" s="2" t="s">
        <x:v>303</x:v>
      </x:c>
      <x:c r="L14" s="2"/>
      <x:c r="M14" s="2"/>
      <x:c r="N14" s="58" t="str">
        <x:v>方法原文明示</x:v>
      </x:c>
      <x:c r="O14" s="58" t="str">
        <x:v>见14_规则证据索引</x:v>
      </x:c>
      <x:c r="P14" s="58" t="str">
        <x:v>方法真值</x:v>
      </x:c>
      <x:c r="Q14" s="58" t="str">
        <x:v>生效</x:v>
      </x:c>
      <x:c r="R14" s="58" t="str">
        <x:v>是</x:v>
      </x:c>
      <x:c r="S14" s="58" t="str">
        <x:v>method_rules(progression)</x:v>
      </x:c>
    </x:row>
    <x:row r="15">
      <x:c r="A15" s="2" t="s">
        <x:v>399</x:v>
      </x:c>
      <x:c r="B15" s="2" t="s">
        <x:v>394</x:v>
      </x:c>
      <x:c r="C15" s="2" t="s">
        <x:v>400</x:v>
      </x:c>
      <x:c r="D15" s="2" t="s">
        <x:v>401</x:v>
      </x:c>
      <x:c r="E15" s="2" t="s">
        <x:v>402</x:v>
      </x:c>
      <x:c r="F15" s="2" t="s">
        <x:v>403</x:v>
      </x:c>
      <x:c r="G15" s="2" t="s">
        <x:v>404</x:v>
      </x:c>
      <x:c r="H15" s="2" t="s">
        <x:v>405</x:v>
      </x:c>
      <x:c r="I15" s="2" t="s">
        <x:v>359</x:v>
      </x:c>
      <x:c r="J15" s="2" t="s">
        <x:v>398</x:v>
      </x:c>
      <x:c r="K15" s="2" t="s">
        <x:v>303</x:v>
      </x:c>
      <x:c r="L15" s="2"/>
      <x:c r="M15" s="2"/>
      <x:c r="N15" s="58" t="str">
        <x:v>方法原文明示</x:v>
      </x:c>
      <x:c r="O15" s="58" t="str">
        <x:v>见14_规则证据索引</x:v>
      </x:c>
      <x:c r="P15" s="58" t="str">
        <x:v>方法真值</x:v>
      </x:c>
      <x:c r="Q15" s="58" t="str">
        <x:v>生效</x:v>
      </x:c>
      <x:c r="R15" s="58" t="str">
        <x:v>是</x:v>
      </x:c>
      <x:c r="S15" s="58" t="str">
        <x:v>method_rules(progression)</x:v>
      </x:c>
    </x:row>
    <x:row r="16">
      <x:c r="A16" s="2" t="s">
        <x:v>406</x:v>
      </x:c>
      <x:c r="B16" s="2" t="s">
        <x:v>394</x:v>
      </x:c>
      <x:c r="C16" s="2" t="s">
        <x:v>407</x:v>
      </x:c>
      <x:c r="D16" s="2" t="s">
        <x:v>408</x:v>
      </x:c>
      <x:c r="E16" s="2" t="s">
        <x:v>409</x:v>
      </x:c>
      <x:c r="F16" s="2" t="s">
        <x:v>410</x:v>
      </x:c>
      <x:c r="G16" s="2" t="s">
        <x:v>411</x:v>
      </x:c>
      <x:c r="H16" s="2" t="s">
        <x:v>412</x:v>
      </x:c>
      <x:c r="I16" s="2" t="s">
        <x:v>413</x:v>
      </x:c>
      <x:c r="J16" s="2" t="s">
        <x:v>398</x:v>
      </x:c>
      <x:c r="K16" s="2" t="s">
        <x:v>303</x:v>
      </x:c>
      <x:c r="L16" s="2"/>
      <x:c r="M16" s="2"/>
      <x:c r="N16" s="58" t="str">
        <x:v>方法原文明示</x:v>
      </x:c>
      <x:c r="O16" s="58" t="str">
        <x:v>见14_规则证据索引</x:v>
      </x:c>
      <x:c r="P16" s="58" t="str">
        <x:v>方法真值</x:v>
      </x:c>
      <x:c r="Q16" s="58" t="str">
        <x:v>生效</x:v>
      </x:c>
      <x:c r="R16" s="58" t="str">
        <x:v>是</x:v>
      </x:c>
      <x:c r="S16" s="58" t="str">
        <x:v>method_rules(progression)</x:v>
      </x:c>
    </x:row>
    <x:row r="17">
      <x:c r="A17" s="2" t="s">
        <x:v>414</x:v>
      </x:c>
      <x:c r="B17" s="2" t="s">
        <x:v>224</x:v>
      </x:c>
      <x:c r="C17" s="2" t="s">
        <x:v>351</x:v>
      </x:c>
      <x:c r="D17" s="2" t="s">
        <x:v>144</x:v>
      </x:c>
      <x:c r="E17" s="2" t="s">
        <x:v>352</x:v>
      </x:c>
      <x:c r="F17" s="2" t="s">
        <x:v>368</x:v>
      </x:c>
      <x:c r="G17" s="2" t="s">
        <x:v>415</x:v>
      </x:c>
      <x:c r="H17" s="2" t="s">
        <x:v>361</x:v>
      </x:c>
      <x:c r="I17" s="2" t="s">
        <x:v>416</x:v>
      </x:c>
      <x:c r="J17" s="2" t="s">
        <x:v>17</x:v>
      </x:c>
      <x:c r="K17" s="2" t="s">
        <x:v>303</x:v>
      </x:c>
      <x:c r="L17" s="2"/>
      <x:c r="M17" s="2"/>
      <x:c r="N17" s="58" t="str">
        <x:v>方法原文明示</x:v>
      </x:c>
      <x:c r="O17" s="58" t="str">
        <x:v>见14_规则证据索引</x:v>
      </x:c>
      <x:c r="P17" s="58" t="str">
        <x:v>方法真值</x:v>
      </x:c>
      <x:c r="Q17" s="58" t="str">
        <x:v>生效</x:v>
      </x:c>
      <x:c r="R17" s="58" t="str">
        <x:v>是</x:v>
      </x:c>
      <x:c r="S17" s="58" t="str">
        <x:v>method_rules(progression)</x:v>
      </x:c>
    </x:row>
    <x:row r="18">
      <x:c r="A18" s="2" t="s">
        <x:v>417</x:v>
      </x:c>
      <x:c r="B18" s="2" t="s">
        <x:v>224</x:v>
      </x:c>
      <x:c r="C18" s="2" t="s">
        <x:v>418</x:v>
      </x:c>
      <x:c r="D18" s="2" t="s">
        <x:v>419</x:v>
      </x:c>
      <x:c r="E18" s="2" t="s">
        <x:v>352</x:v>
      </x:c>
      <x:c r="F18" s="2" t="s">
        <x:v>368</x:v>
      </x:c>
      <x:c r="G18" s="2" t="s">
        <x:v>420</x:v>
      </x:c>
      <x:c r="H18" s="2" t="s">
        <x:v>361</x:v>
      </x:c>
      <x:c r="I18" s="2" t="s">
        <x:v>416</x:v>
      </x:c>
      <x:c r="J18" s="2" t="s">
        <x:v>17</x:v>
      </x:c>
      <x:c r="K18" s="2" t="s">
        <x:v>303</x:v>
      </x:c>
      <x:c r="L18" s="2"/>
      <x:c r="M18" s="2"/>
      <x:c r="N18" s="58" t="str">
        <x:v>方法原文明示</x:v>
      </x:c>
      <x:c r="O18" s="58" t="str">
        <x:v>见14_规则证据索引</x:v>
      </x:c>
      <x:c r="P18" s="58" t="str">
        <x:v>方法真值</x:v>
      </x:c>
      <x:c r="Q18" s="58" t="str">
        <x:v>生效</x:v>
      </x:c>
      <x:c r="R18" s="58" t="str">
        <x:v>是</x:v>
      </x:c>
      <x:c r="S18" s="58" t="str">
        <x:v>method_rules(progression)</x:v>
      </x:c>
    </x:row>
    <x:row r="19">
      <x:c r="A19" s="2" t="s">
        <x:v>421</x:v>
      </x:c>
      <x:c r="B19" s="2" t="s">
        <x:v>224</x:v>
      </x:c>
      <x:c r="C19" s="2" t="s">
        <x:v>422</x:v>
      </x:c>
      <x:c r="D19" s="2" t="s">
        <x:v>129</x:v>
      </x:c>
      <x:c r="E19" s="2" t="s">
        <x:v>423</x:v>
      </x:c>
      <x:c r="F19" s="2" t="s">
        <x:v>424</x:v>
      </x:c>
      <x:c r="G19" s="2" t="s">
        <x:v>425</x:v>
      </x:c>
      <x:c r="H19" s="2" t="s">
        <x:v>361</x:v>
      </x:c>
      <x:c r="I19" s="2" t="s">
        <x:v>426</x:v>
      </x:c>
      <x:c r="J19" s="2" t="s">
        <x:v>17</x:v>
      </x:c>
      <x:c r="K19" s="2" t="s">
        <x:v>303</x:v>
      </x:c>
      <x:c r="L19" s="2"/>
      <x:c r="M19" s="2"/>
      <x:c r="N19" s="58" t="str">
        <x:v>方法原文明示</x:v>
      </x:c>
      <x:c r="O19" s="58" t="str">
        <x:v>见14_规则证据索引</x:v>
      </x:c>
      <x:c r="P19" s="58" t="str">
        <x:v>方法真值</x:v>
      </x:c>
      <x:c r="Q19" s="58" t="str">
        <x:v>生效</x:v>
      </x:c>
      <x:c r="R19" s="58" t="str">
        <x:v>是</x:v>
      </x:c>
      <x:c r="S19" s="58" t="str">
        <x:v>method_rules(progression)</x:v>
      </x:c>
    </x:row>
    <x:row r="20">
      <x:c r="A20" s="2" t="s">
        <x:v>427</x:v>
      </x:c>
      <x:c r="B20" s="2" t="s">
        <x:v>224</x:v>
      </x:c>
      <x:c r="C20" s="2" t="s">
        <x:v>407</x:v>
      </x:c>
      <x:c r="D20" s="2" t="s">
        <x:v>428</x:v>
      </x:c>
      <x:c r="E20" s="2" t="s">
        <x:v>409</x:v>
      </x:c>
      <x:c r="F20" s="2" t="s">
        <x:v>429</x:v>
      </x:c>
      <x:c r="G20" s="2" t="s">
        <x:v>430</x:v>
      </x:c>
      <x:c r="H20" s="2" t="s">
        <x:v>361</x:v>
      </x:c>
      <x:c r="I20" s="2" t="s">
        <x:v>431</x:v>
      </x:c>
      <x:c r="J20" s="2" t="s">
        <x:v>398</x:v>
      </x:c>
      <x:c r="K20" s="2" t="s">
        <x:v>303</x:v>
      </x:c>
      <x:c r="L20" s="2"/>
      <x:c r="M20" s="2"/>
      <x:c r="N20" s="58" t="str">
        <x:v>方法原文明示</x:v>
      </x:c>
      <x:c r="O20" s="58" t="str">
        <x:v>见14_规则证据索引</x:v>
      </x:c>
      <x:c r="P20" s="58" t="str">
        <x:v>方法真值</x:v>
      </x:c>
      <x:c r="Q20" s="58" t="str">
        <x:v>生效</x:v>
      </x:c>
      <x:c r="R20" s="58" t="str">
        <x:v>是</x:v>
      </x:c>
      <x:c r="S20" s="58" t="str">
        <x:v>method_rules(progression)</x:v>
      </x:c>
    </x:row>
    <x:row r="21">
      <x:c r="A21" s="2" t="s">
        <x:v>432</x:v>
      </x:c>
      <x:c r="B21" s="2" t="s">
        <x:v>156</x:v>
      </x:c>
      <x:c r="C21" s="2" t="s">
        <x:v>351</x:v>
      </x:c>
      <x:c r="D21" s="2" t="s">
        <x:v>247</x:v>
      </x:c>
      <x:c r="E21" s="2" t="s">
        <x:v>248</x:v>
      </x:c>
      <x:c r="F21" s="2" t="s">
        <x:v>433</x:v>
      </x:c>
      <x:c r="G21" s="2" t="s">
        <x:v>434</x:v>
      </x:c>
      <x:c r="H21" s="2" t="s">
        <x:v>405</x:v>
      </x:c>
      <x:c r="I21" s="2" t="s">
        <x:v>435</x:v>
      </x:c>
      <x:c r="J21" s="2" t="s">
        <x:v>17</x:v>
      </x:c>
      <x:c r="K21" s="2" t="s">
        <x:v>303</x:v>
      </x:c>
      <x:c r="L21" s="2"/>
      <x:c r="M21" s="2"/>
      <x:c r="N21" s="58" t="str">
        <x:v>方法原文明示</x:v>
      </x:c>
      <x:c r="O21" s="58" t="str">
        <x:v>见14_规则证据索引</x:v>
      </x:c>
      <x:c r="P21" s="58" t="str">
        <x:v>方法真值</x:v>
      </x:c>
      <x:c r="Q21" s="58" t="str">
        <x:v>生效</x:v>
      </x:c>
      <x:c r="R21" s="58" t="str">
        <x:v>是</x:v>
      </x:c>
      <x:c r="S21" s="58" t="str">
        <x:v>method_rules(progression)</x:v>
      </x:c>
    </x:row>
    <x:row r="22">
      <x:c r="A22" s="2" t="s">
        <x:v>436</x:v>
      </x:c>
      <x:c r="B22" s="2" t="s">
        <x:v>156</x:v>
      </x:c>
      <x:c r="C22" s="2" t="s">
        <x:v>400</x:v>
      </x:c>
      <x:c r="D22" s="2" t="s">
        <x:v>437</x:v>
      </x:c>
      <x:c r="E22" s="2" t="s">
        <x:v>438</x:v>
      </x:c>
      <x:c r="F22" s="2" t="s">
        <x:v>439</x:v>
      </x:c>
      <x:c r="G22" s="2" t="s">
        <x:v>440</x:v>
      </x:c>
      <x:c r="H22" s="2" t="s">
        <x:v>361</x:v>
      </x:c>
      <x:c r="I22" s="2" t="s">
        <x:v>441</x:v>
      </x:c>
      <x:c r="J22" s="2" t="s">
        <x:v>398</x:v>
      </x:c>
      <x:c r="K22" s="2" t="s">
        <x:v>303</x:v>
      </x:c>
      <x:c r="L22" s="2"/>
      <x:c r="M22" s="2"/>
      <x:c r="N22" s="58" t="str">
        <x:v>方法原文明示</x:v>
      </x:c>
      <x:c r="O22" s="58" t="str">
        <x:v>见14_规则证据索引</x:v>
      </x:c>
      <x:c r="P22" s="58" t="str">
        <x:v>方法真值</x:v>
      </x:c>
      <x:c r="Q22" s="58" t="str">
        <x:v>生效</x:v>
      </x:c>
      <x:c r="R22" s="58" t="str">
        <x:v>是</x:v>
      </x:c>
      <x:c r="S22" s="58" t="str">
        <x:v>method_rules(progression)</x:v>
      </x:c>
    </x:row>
    <x:row r="23">
      <x:c r="A23" s="2" t="s">
        <x:v>442</x:v>
      </x:c>
      <x:c r="B23" s="2" t="s">
        <x:v>169</x:v>
      </x:c>
      <x:c r="C23" s="2" t="s">
        <x:v>443</x:v>
      </x:c>
      <x:c r="D23" s="2" t="s">
        <x:v>266</x:v>
      </x:c>
      <x:c r="E23" s="2" t="s">
        <x:v>444</x:v>
      </x:c>
      <x:c r="F23" s="2" t="s">
        <x:v>368</x:v>
      </x:c>
      <x:c r="G23" s="2" t="s">
        <x:v>445</x:v>
      </x:c>
      <x:c r="H23" s="2" t="s">
        <x:v>361</x:v>
      </x:c>
      <x:c r="I23" s="2" t="s">
        <x:v>446</x:v>
      </x:c>
      <x:c r="J23" s="2" t="s">
        <x:v>17</x:v>
      </x:c>
      <x:c r="K23" s="2" t="s">
        <x:v>303</x:v>
      </x:c>
      <x:c r="L23" s="2"/>
      <x:c r="M23" s="2"/>
      <x:c r="N23" s="58" t="str">
        <x:v>方法原文明示</x:v>
      </x:c>
      <x:c r="O23" s="58" t="str">
        <x:v>见14_规则证据索引</x:v>
      </x:c>
      <x:c r="P23" s="58" t="str">
        <x:v>方法真值</x:v>
      </x:c>
      <x:c r="Q23" s="58" t="str">
        <x:v>生效</x:v>
      </x:c>
      <x:c r="R23" s="58" t="str">
        <x:v>是</x:v>
      </x:c>
      <x:c r="S23" s="58" t="str">
        <x:v>method_rules(progression)</x:v>
      </x:c>
    </x:row>
    <x:row r="24">
      <x:c r="A24" s="2" t="s">
        <x:v>447</x:v>
      </x:c>
      <x:c r="B24" s="2" t="s">
        <x:v>169</x:v>
      </x:c>
      <x:c r="C24" s="2" t="s">
        <x:v>448</x:v>
      </x:c>
      <x:c r="D24" s="2" t="s">
        <x:v>434</x:v>
      </x:c>
      <x:c r="E24" s="2" t="s">
        <x:v>449</x:v>
      </x:c>
      <x:c r="F24" s="2" t="s">
        <x:v>368</x:v>
      </x:c>
      <x:c r="G24" s="2" t="s">
        <x:v>450</x:v>
      </x:c>
      <x:c r="H24" s="2" t="s">
        <x:v>361</x:v>
      </x:c>
      <x:c r="I24" s="2" t="s">
        <x:v>446</x:v>
      </x:c>
      <x:c r="J24" s="2" t="s">
        <x:v>17</x:v>
      </x:c>
      <x:c r="K24" s="2" t="s">
        <x:v>303</x:v>
      </x:c>
      <x:c r="L24" s="2"/>
      <x:c r="M24" s="2"/>
      <x:c r="N24" s="58" t="str">
        <x:v>方法原文明示</x:v>
      </x:c>
      <x:c r="O24" s="58" t="str">
        <x:v>见14_规则证据索引</x:v>
      </x:c>
      <x:c r="P24" s="58" t="str">
        <x:v>方法真值</x:v>
      </x:c>
      <x:c r="Q24" s="58" t="str">
        <x:v>生效</x:v>
      </x:c>
      <x:c r="R24" s="58" t="str">
        <x:v>是</x:v>
      </x:c>
      <x:c r="S24" s="58" t="str">
        <x:v>method_rules(progression)</x:v>
      </x:c>
    </x:row>
    <x:row r="25">
      <x:c r="A25" s="2" t="s">
        <x:v>451</x:v>
      </x:c>
      <x:c r="B25" s="2" t="s">
        <x:v>169</x:v>
      </x:c>
      <x:c r="C25" s="2" t="s">
        <x:v>452</x:v>
      </x:c>
      <x:c r="D25" s="2" t="s">
        <x:v>453</x:v>
      </x:c>
      <x:c r="E25" s="2" t="s">
        <x:v>454</x:v>
      </x:c>
      <x:c r="F25" s="2" t="s">
        <x:v>368</x:v>
      </x:c>
      <x:c r="G25" s="2" t="s">
        <x:v>455</x:v>
      </x:c>
      <x:c r="H25" s="2" t="s">
        <x:v>456</x:v>
      </x:c>
      <x:c r="I25" s="2" t="s">
        <x:v>457</x:v>
      </x:c>
      <x:c r="J25" s="2" t="s">
        <x:v>17</x:v>
      </x:c>
      <x:c r="K25" s="2" t="s">
        <x:v>303</x:v>
      </x:c>
      <x:c r="L25" s="2"/>
      <x:c r="M25" s="2"/>
      <x:c r="N25" s="58" t="str">
        <x:v>方法原文明示</x:v>
      </x:c>
      <x:c r="O25" s="58" t="str">
        <x:v>见14_规则证据索引</x:v>
      </x:c>
      <x:c r="P25" s="58" t="str">
        <x:v>方法真值</x:v>
      </x:c>
      <x:c r="Q25" s="58" t="str">
        <x:v>生效</x:v>
      </x:c>
      <x:c r="R25" s="58" t="str">
        <x:v>是</x:v>
      </x:c>
      <x:c r="S25" s="58" t="str">
        <x:v>method_rules(progression)</x:v>
      </x:c>
    </x:row>
    <x:row r="26">
      <x:c r="A26" s="2" t="s">
        <x:v>458</x:v>
      </x:c>
      <x:c r="B26" s="2" t="s">
        <x:v>459</x:v>
      </x:c>
      <x:c r="C26" s="2" t="s">
        <x:v>460</x:v>
      </x:c>
      <x:c r="D26" s="2" t="s">
        <x:v>461</x:v>
      </x:c>
      <x:c r="E26" s="2" t="s">
        <x:v>462</x:v>
      </x:c>
      <x:c r="F26" s="2" t="s">
        <x:v>463</x:v>
      </x:c>
      <x:c r="G26" s="2" t="s">
        <x:v>464</x:v>
      </x:c>
      <x:c r="H26" s="2" t="s">
        <x:v>465</x:v>
      </x:c>
      <x:c r="I26" s="2" t="s">
        <x:v>466</x:v>
      </x:c>
      <x:c r="J26" s="2" t="s">
        <x:v>139</x:v>
      </x:c>
      <x:c r="K26" s="2" t="s">
        <x:v>303</x:v>
      </x:c>
      <x:c r="L26" s="2"/>
      <x:c r="M26" s="2" t="s">
        <x:v>467</x:v>
      </x:c>
      <x:c r="N26" s="58" t="str">
        <x:v>方法原文明示/细则不足</x:v>
      </x:c>
      <x:c r="O26" s="58" t="str">
        <x:v>EV-MONTH-001</x:v>
      </x:c>
      <x:c r="P26" s="58" t="str">
        <x:v>方法真值</x:v>
      </x:c>
      <x:c r="Q26" s="58" t="str">
        <x:v>待补证据</x:v>
      </x:c>
      <x:c r="R26" s="58" t="str">
        <x:v>部分</x:v>
      </x:c>
      <x:c r="S26" s="58" t="str">
        <x:v>method_rules(progression)</x:v>
      </x:c>
    </x:row>
    <x:row r="27">
      <x:c r="A27" t="str">
        <x:v>LOWER-V1-CAL</x:v>
      </x:c>
      <x:c r="B27" t="str">
        <x:v>Day3全部动作</x:v>
      </x:c>
      <x:c r="C27" t="str">
        <x:v>V1校准</x:v>
      </x:c>
      <x:c r="D27" t="str">
        <x:v>保持动作结构与目标次数区间</x:v>
      </x:c>
      <x:c r="E27" t="str">
        <x:v>合理余量+动作质量稳定</x:v>
      </x:c>
      <x:c r="F27" t="str">
        <x:v>达到目标次数区间，实际RIR满足最低余量且无质量问题</x:v>
      </x:c>
      <x:c r="G27" t="str">
        <x:v>只调整reference_weight；method_stage保持不变</x:v>
      </x:c>
      <x:c r="H27" t="str">
        <x:v>偏重/变形则降低或维持reference_weight</x:v>
      </x:c>
      <x:c r="I27" t="str">
        <x:v>reps/weight/RIR/form</x:v>
      </x:c>
      <x:c r="J27" t="str">
        <x:v>高</x:v>
      </x:c>
      <x:c r="K27" t="str">
        <x:v>待Beta验证阈值</x:v>
      </x:c>
      <x:c r="L27"/>
      <x:c r="M27" t="str">
        <x:v>progression_type=calibration_only_until_more_method_evidence</x:v>
      </x:c>
      <x:c r="N27" t="str">
        <x:v>Pawside V1产品执行默认</x:v>
      </x:c>
      <x:c r="O27" t="str">
        <x:v>EV-P0-DAY3-DEFAULT</x:v>
      </x:c>
      <x:c r="P27" t="str">
        <x:v>产品执行默认</x:v>
      </x:c>
      <x:c r="Q27" t="str">
        <x:v>生效</x:v>
      </x:c>
      <x:c r="R27" t="str">
        <x:v>是</x:v>
      </x:c>
      <x:c r="S27" t="str">
        <x:v>method_rules(calibration)</x:v>
      </x:c>
    </x:row>
    <x:row r="28">
      <x:c r="A28" t="str">
        <x:v>CURL-V1-CAL</x:v>
      </x:c>
      <x:c r="B28" t="str">
        <x:v>坐姿肩屈位绳索弯举</x:v>
      </x:c>
      <x:c r="C28" t="str">
        <x:v>V1校准</x:v>
      </x:c>
      <x:c r="D28" t="str">
        <x:v>3组×12–15次</x:v>
      </x:c>
      <x:c r="E28" t="str">
        <x:v>动作质量优先；末组可接近技术性力竭</x:v>
      </x:c>
      <x:c r="F28" t="str">
        <x:v>稳定完成3组且持续判断参考重量偏轻</x:v>
      </x:c>
      <x:c r="G28" t="str">
        <x:v>只调整reference_weight；method_stage=null</x:v>
      </x:c>
      <x:c r="H28" t="str">
        <x:v>偏重/变形则降低或维持reference_weight</x:v>
      </x:c>
      <x:c r="I28" t="str">
        <x:v>reps/weight/RIR/form</x:v>
      </x:c>
      <x:c r="J28" t="str">
        <x:v>高</x:v>
      </x:c>
      <x:c r="K28" t="str">
        <x:v>待Beta验证阈值</x:v>
      </x:c>
      <x:c r="L28"/>
      <x:c r="M28" t="str">
        <x:v>progression_type=calibration_only；不是作者的正式Progression Rule</x:v>
      </x:c>
      <x:c r="N28" t="str">
        <x:v>Pawside V1产品执行默认</x:v>
      </x:c>
      <x:c r="O28" t="str">
        <x:v>EV-P0-CURL-DEFAULT</x:v>
      </x:c>
      <x:c r="P28" t="str">
        <x:v>产品执行默认</x:v>
      </x:c>
      <x:c r="Q28" t="str">
        <x:v>生效</x:v>
      </x:c>
      <x:c r="R28" t="str">
        <x:v>是</x:v>
      </x:c>
      <x:c r="S28" t="str">
        <x:v>method_rules(calibration)</x:v>
      </x:c>
    </x:row>
  </x:sheetData>
  <x:mergeCells>
    <x:mergeCell ref="A1:M1"/>
    <x:mergeCell ref="A2:M2"/>
  </x:mergeCells>
  <x:dataValidations count="4">
    <x:dataValidation type="list" sqref="K5:K26">
      <x:formula1>"待确认,接受自动建议,只接受提示,不接受,需要解释"</x:formula1>
    </x:dataValidation>
    <x:dataValidation type="list" sqref="Q5:Q200">
      <x:formula1>"生效,待确认,待核验,待补证据,不导入,归档"</x:formula1>
    </x:dataValidation>
    <x:dataValidation type="list" sqref="R5:R200">
      <x:formula1>"是,部分,否"</x:formula1>
    </x:dataValidation>
    <x:dataValidation type="list" sqref="N5:N200">
      <x:formula1>"方法原文明示,方法原文部分明确,方法原文推导,方法原文明示/细则不足,产品适应策略,用户确认,待确认"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4"/>
  <x:cols>
    <x:col min="1" max="1" width="12" customWidth="1"/>
    <x:col min="2" max="2" width="9" customWidth="1"/>
    <x:col min="3" max="3" width="13" customWidth="1"/>
    <x:col min="4" max="4" width="14" customWidth="1"/>
    <x:col min="5" max="5" width="10" customWidth="1"/>
    <x:col min="6" max="6" width="24" customWidth="1"/>
    <x:col min="7" max="7" width="18" customWidth="1"/>
    <x:col min="8" max="8" width="16" customWidth="1"/>
    <x:col min="9" max="9" width="9" customWidth="1"/>
    <x:col min="10" max="10" width="16" customWidth="1"/>
    <x:col min="11" max="13" width="12" customWidth="1"/>
    <x:col min="14" max="16" width="14" customWidth="1"/>
    <x:col min="17" max="19" width="12" customWidth="1"/>
    <x:col min="20" max="22" width="14" customWidth="1"/>
    <x:col min="23" max="23" width="12" customWidth="1"/>
    <x:col min="24" max="24" width="32" customWidth="1"/>
    <x:col min="25" max="25" width="20" hidden="0" customWidth="1"/>
  </x:cols>
  <x:sheetData>
    <x:row r="1" ht="20" customHeight="1">
      <x:c r="A1" s="11" t="s">
        <x:v>468</x:v>
      </x:c>
      <x:c r="B1" s="12"/>
      <x:c r="C1" s="12"/>
      <x:c r="D1" s="12"/>
      <x:c r="E1" s="12"/>
      <x:c r="F1" s="12"/>
      <x:c r="G1" s="12"/>
      <x:c r="H1" s="12"/>
      <x:c r="I1" s="12"/>
      <x:c r="J1" s="12"/>
      <x:c r="K1" s="12"/>
      <x:c r="L1" s="12"/>
      <x:c r="M1" s="12"/>
      <x:c r="N1" s="12"/>
      <x:c r="O1" s="12"/>
      <x:c r="P1" s="12"/>
      <x:c r="Q1" s="12"/>
      <x:c r="R1" s="12"/>
      <x:c r="S1" s="12"/>
      <x:c r="T1" s="12"/>
      <x:c r="U1" s="12"/>
      <x:c r="V1" s="12"/>
      <x:c r="W1" s="12"/>
      <x:c r="X1" s="12"/>
      <x:c r="Y1" s="58"/>
    </x:row>
    <x:row r="2" ht="22.649999618530273" customHeight="1">
      <x:c r="A2" s="34" t="str">
        <x:v>测试/验收模板，不作为生产真值。用户主要输入“还能再做几次”；RPE保留为方法兼容/内部字段。训练中只问会影响下一步判断的数据。</x:v>
      </x:c>
      <x:c r="B2" s="37"/>
      <x:c r="C2" s="37"/>
      <x:c r="D2" s="37"/>
      <x:c r="E2" s="37"/>
      <x:c r="F2" s="37"/>
      <x:c r="G2" s="37"/>
      <x:c r="H2" s="37"/>
      <x:c r="I2" s="37"/>
      <x:c r="J2" s="37"/>
      <x:c r="K2" s="37"/>
      <x:c r="L2" s="37"/>
      <x:c r="M2" s="37"/>
      <x:c r="N2" s="37"/>
      <x:c r="O2" s="37"/>
      <x:c r="P2" s="37"/>
      <x:c r="Q2" s="37"/>
      <x:c r="R2" s="37"/>
      <x:c r="S2" s="37"/>
      <x:c r="T2" s="37"/>
      <x:c r="U2" s="37"/>
      <x:c r="V2" s="37"/>
      <x:c r="W2" s="37"/>
      <x:c r="X2" s="37"/>
      <x:c r="Y2" s="58"/>
    </x:row>
    <x:row r="3">
      <x:c r="Y3" s="58"/>
    </x:row>
    <x:row r="4">
      <x:c r="A4" s="1" t="s">
        <x:v>469</x:v>
      </x:c>
      <x:c r="B4" s="1" t="s">
        <x:v>470</x:v>
      </x:c>
      <x:c r="C4" s="1" t="s">
        <x:v>104</x:v>
      </x:c>
      <x:c r="D4" s="1" t="s">
        <x:v>471</x:v>
      </x:c>
      <x:c r="E4" s="1" t="s">
        <x:v>472</x:v>
      </x:c>
      <x:c r="F4" s="1" t="s">
        <x:v>182</x:v>
      </x:c>
      <x:c r="G4" s="1" t="s">
        <x:v>473</x:v>
      </x:c>
      <x:c r="H4" s="1" t="s">
        <x:v>474</x:v>
      </x:c>
      <x:c r="I4" s="1" t="s">
        <x:v>475</x:v>
      </x:c>
      <x:c r="J4" s="1" t="s">
        <x:v>476</x:v>
      </x:c>
      <x:c r="K4" s="1" t="s">
        <x:v>477</x:v>
      </x:c>
      <x:c r="L4" s="1" t="s">
        <x:v>478</x:v>
      </x:c>
      <x:c r="M4" s="1" t="s">
        <x:v>479</x:v>
      </x:c>
      <x:c r="N4" s="1" t="s">
        <x:v>480</x:v>
      </x:c>
      <x:c r="O4" s="1" t="s">
        <x:v>481</x:v>
      </x:c>
      <x:c r="P4" s="1" t="s">
        <x:v>482</x:v>
      </x:c>
      <x:c r="Q4" s="1" t="s">
        <x:v>483</x:v>
      </x:c>
      <x:c r="R4" s="42" t="str">
        <x:v>实际剩余次数</x:v>
      </x:c>
      <x:c r="S4" s="42" t="s">
        <x:v>484</x:v>
      </x:c>
      <x:c r="T4" s="42" t="s">
        <x:v>485</x:v>
      </x:c>
      <x:c r="U4" s="42" t="s">
        <x:v>82</x:v>
      </x:c>
      <x:c r="V4" s="42" t="s">
        <x:v>486</x:v>
      </x:c>
      <x:c r="W4" s="42" t="s">
        <x:v>487</x:v>
      </x:c>
      <x:c r="X4" s="42" t="s">
        <x:v>10</x:v>
      </x:c>
      <x:c r="Y4" s="58" t="str">
        <x:v>实际RPE（内部/可选）</x:v>
      </x:c>
    </x:row>
    <x:row r="5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4"/>
      <x:c r="Q5" s="4"/>
      <x:c r="R5" s="4"/>
      <x:c r="S5" s="4"/>
      <x:c r="T5" s="4"/>
      <x:c r="U5" s="4"/>
      <x:c r="V5" s="4"/>
      <x:c r="W5" s="4"/>
      <x:c r="X5" s="4"/>
    </x:row>
    <x:row r="6">
      <x:c r="A6" s="3"/>
      <x:c r="B6" s="3"/>
      <x:c r="C6" s="3"/>
      <x:c r="D6" s="3"/>
      <x:c r="E6" s="3"/>
      <x:c r="F6" s="3"/>
      <x:c r="G6" s="3"/>
      <x:c r="H6" s="3"/>
      <x:c r="I6" s="3"/>
      <x:c r="J6" s="3"/>
      <x:c r="K6" s="3"/>
      <x:c r="L6" s="3"/>
      <x:c r="M6" s="3"/>
      <x:c r="N6" s="3"/>
      <x:c r="O6" s="3"/>
      <x:c r="P6" s="4"/>
      <x:c r="Q6" s="4"/>
      <x:c r="R6" s="4"/>
      <x:c r="S6" s="4"/>
      <x:c r="T6" s="4"/>
      <x:c r="U6" s="4"/>
      <x:c r="V6" s="4"/>
      <x:c r="W6" s="4"/>
      <x:c r="X6" s="4"/>
    </x:row>
    <x:row r="7">
      <x:c r="A7" s="3"/>
      <x:c r="B7" s="3"/>
      <x:c r="C7" s="3"/>
      <x:c r="D7" s="3"/>
      <x:c r="E7" s="3"/>
      <x:c r="F7" s="3"/>
      <x:c r="G7" s="3"/>
      <x:c r="H7" s="3"/>
      <x:c r="I7" s="3"/>
      <x:c r="J7" s="3"/>
      <x:c r="K7" s="3"/>
      <x:c r="L7" s="3"/>
      <x:c r="M7" s="3"/>
      <x:c r="N7" s="3"/>
      <x:c r="O7" s="3"/>
      <x:c r="P7" s="4"/>
      <x:c r="Q7" s="4"/>
      <x:c r="R7" s="4"/>
      <x:c r="S7" s="4"/>
      <x:c r="T7" s="4"/>
      <x:c r="U7" s="4"/>
      <x:c r="V7" s="4"/>
      <x:c r="W7" s="4"/>
      <x:c r="X7" s="4"/>
    </x:row>
    <x:row r="8">
      <x:c r="A8" s="3"/>
      <x:c r="B8" s="3"/>
      <x:c r="C8" s="3"/>
      <x:c r="D8" s="3"/>
      <x:c r="E8" s="3"/>
      <x:c r="F8" s="3"/>
      <x:c r="G8" s="3"/>
      <x:c r="H8" s="3"/>
      <x:c r="I8" s="3"/>
      <x:c r="J8" s="3"/>
      <x:c r="K8" s="3"/>
      <x:c r="L8" s="3"/>
      <x:c r="M8" s="3"/>
      <x:c r="N8" s="3"/>
      <x:c r="O8" s="3"/>
      <x:c r="P8" s="4"/>
      <x:c r="Q8" s="4"/>
      <x:c r="R8" s="4"/>
      <x:c r="S8" s="4"/>
      <x:c r="T8" s="4"/>
      <x:c r="U8" s="4"/>
      <x:c r="V8" s="4"/>
      <x:c r="W8" s="4"/>
      <x:c r="X8" s="4"/>
    </x:row>
    <x:row r="9">
      <x:c r="A9" s="3"/>
      <x:c r="B9" s="3"/>
      <x:c r="C9" s="3"/>
      <x:c r="D9" s="3"/>
      <x:c r="E9" s="3"/>
      <x:c r="F9" s="3"/>
      <x:c r="G9" s="3"/>
      <x:c r="H9" s="3"/>
      <x:c r="I9" s="3"/>
      <x:c r="J9" s="3"/>
      <x:c r="K9" s="3"/>
      <x:c r="L9" s="3"/>
      <x:c r="M9" s="3"/>
      <x:c r="N9" s="3"/>
      <x:c r="O9" s="3"/>
      <x:c r="P9" s="4"/>
      <x:c r="Q9" s="4"/>
      <x:c r="R9" s="4"/>
      <x:c r="S9" s="4"/>
      <x:c r="T9" s="4"/>
      <x:c r="U9" s="4"/>
      <x:c r="V9" s="4"/>
      <x:c r="W9" s="4"/>
      <x:c r="X9" s="4"/>
    </x:row>
    <x:row r="10">
      <x:c r="A10" s="3"/>
      <x:c r="B10" s="3"/>
      <x:c r="C10" s="3"/>
      <x:c r="D10" s="3"/>
      <x:c r="E10" s="3"/>
      <x:c r="F10" s="3"/>
      <x:c r="G10" s="3"/>
      <x:c r="H10" s="3"/>
      <x:c r="I10" s="3"/>
      <x:c r="J10" s="3"/>
      <x:c r="K10" s="3"/>
      <x:c r="L10" s="3"/>
      <x:c r="M10" s="3"/>
      <x:c r="N10" s="3"/>
      <x:c r="O10" s="3"/>
      <x:c r="P10" s="4"/>
      <x:c r="Q10" s="4"/>
      <x:c r="R10" s="4"/>
      <x:c r="S10" s="4"/>
      <x:c r="T10" s="4"/>
      <x:c r="U10" s="4"/>
      <x:c r="V10" s="4"/>
      <x:c r="W10" s="4"/>
      <x:c r="X10" s="4"/>
    </x:row>
    <x:row r="11">
      <x:c r="A11" s="3"/>
      <x:c r="B11" s="3"/>
      <x:c r="C11" s="3"/>
      <x:c r="D11" s="3"/>
      <x:c r="E11" s="3"/>
      <x:c r="F11" s="3"/>
      <x:c r="G11" s="3"/>
      <x:c r="H11" s="3"/>
      <x:c r="I11" s="3"/>
      <x:c r="J11" s="3"/>
      <x:c r="K11" s="3"/>
      <x:c r="L11" s="3"/>
      <x:c r="M11" s="3"/>
      <x:c r="N11" s="3"/>
      <x:c r="O11" s="3"/>
      <x:c r="P11" s="4"/>
      <x:c r="Q11" s="4"/>
      <x:c r="R11" s="4"/>
      <x:c r="S11" s="4"/>
      <x:c r="T11" s="4"/>
      <x:c r="U11" s="4"/>
      <x:c r="V11" s="4"/>
      <x:c r="W11" s="4"/>
      <x:c r="X11" s="4"/>
    </x:row>
    <x:row r="12">
      <x:c r="A12" s="3"/>
      <x:c r="B12" s="3"/>
      <x:c r="C12" s="3"/>
      <x:c r="D12" s="3"/>
      <x:c r="E12" s="3"/>
      <x:c r="F12" s="3"/>
      <x:c r="G12" s="3"/>
      <x:c r="H12" s="3"/>
      <x:c r="I12" s="3"/>
      <x:c r="J12" s="3"/>
      <x:c r="K12" s="3"/>
      <x:c r="L12" s="3"/>
      <x:c r="M12" s="3"/>
      <x:c r="N12" s="3"/>
      <x:c r="O12" s="3"/>
      <x:c r="P12" s="4"/>
      <x:c r="Q12" s="4"/>
      <x:c r="R12" s="4"/>
      <x:c r="S12" s="4"/>
      <x:c r="T12" s="4"/>
      <x:c r="U12" s="4"/>
      <x:c r="V12" s="4"/>
      <x:c r="W12" s="4"/>
      <x:c r="X12" s="4"/>
    </x:row>
    <x:row r="13">
      <x:c r="A13" s="3"/>
      <x:c r="B13" s="3"/>
      <x:c r="C13" s="3"/>
      <x:c r="D13" s="3"/>
      <x:c r="E13" s="3"/>
      <x:c r="F13" s="3"/>
      <x:c r="G13" s="3"/>
      <x:c r="H13" s="3"/>
      <x:c r="I13" s="3"/>
      <x:c r="J13" s="3"/>
      <x:c r="K13" s="3"/>
      <x:c r="L13" s="3"/>
      <x:c r="M13" s="3"/>
      <x:c r="N13" s="3"/>
      <x:c r="O13" s="3"/>
      <x:c r="P13" s="4"/>
      <x:c r="Q13" s="4"/>
      <x:c r="R13" s="4"/>
      <x:c r="S13" s="4"/>
      <x:c r="T13" s="4"/>
      <x:c r="U13" s="4"/>
      <x:c r="V13" s="4"/>
      <x:c r="W13" s="4"/>
      <x:c r="X13" s="4"/>
    </x:row>
    <x:row r="14">
      <x:c r="A14" s="3"/>
      <x:c r="B14" s="3"/>
      <x:c r="C14" s="3"/>
      <x:c r="D14" s="3"/>
      <x:c r="E14" s="3"/>
      <x:c r="F14" s="3"/>
      <x:c r="G14" s="3"/>
      <x:c r="H14" s="3"/>
      <x:c r="I14" s="3"/>
      <x:c r="J14" s="3"/>
      <x:c r="K14" s="3"/>
      <x:c r="L14" s="3"/>
      <x:c r="M14" s="3"/>
      <x:c r="N14" s="3"/>
      <x:c r="O14" s="3"/>
      <x:c r="P14" s="4"/>
      <x:c r="Q14" s="4"/>
      <x:c r="R14" s="4"/>
      <x:c r="S14" s="4"/>
      <x:c r="T14" s="4"/>
      <x:c r="U14" s="4"/>
      <x:c r="V14" s="4"/>
      <x:c r="W14" s="4"/>
      <x:c r="X14" s="4"/>
    </x:row>
    <x:row r="15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  <x:c r="L15" s="3"/>
      <x:c r="M15" s="3"/>
      <x:c r="N15" s="3"/>
      <x:c r="O15" s="3"/>
      <x:c r="P15" s="4"/>
      <x:c r="Q15" s="4"/>
      <x:c r="R15" s="4"/>
      <x:c r="S15" s="4"/>
      <x:c r="T15" s="4"/>
      <x:c r="U15" s="4"/>
      <x:c r="V15" s="4"/>
      <x:c r="W15" s="4"/>
      <x:c r="X15" s="4"/>
    </x:row>
    <x:row r="16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  <x:c r="N16" s="3"/>
      <x:c r="O16" s="3"/>
      <x:c r="P16" s="4"/>
      <x:c r="Q16" s="4"/>
      <x:c r="R16" s="4"/>
      <x:c r="S16" s="4"/>
      <x:c r="T16" s="4"/>
      <x:c r="U16" s="4"/>
      <x:c r="V16" s="4"/>
      <x:c r="W16" s="4"/>
      <x:c r="X16" s="4"/>
    </x:row>
    <x:row r="17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  <x:c r="O17" s="3"/>
      <x:c r="P17" s="4"/>
      <x:c r="Q17" s="4"/>
      <x:c r="R17" s="4"/>
      <x:c r="S17" s="4"/>
      <x:c r="T17" s="4"/>
      <x:c r="U17" s="4"/>
      <x:c r="V17" s="4"/>
      <x:c r="W17" s="4"/>
      <x:c r="X17" s="4"/>
    </x:row>
    <x:row r="18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  <x:c r="N18" s="3"/>
      <x:c r="O18" s="3"/>
      <x:c r="P18" s="4"/>
      <x:c r="Q18" s="4"/>
      <x:c r="R18" s="4"/>
      <x:c r="S18" s="4"/>
      <x:c r="T18" s="4"/>
      <x:c r="U18" s="4"/>
      <x:c r="V18" s="4"/>
      <x:c r="W18" s="4"/>
      <x:c r="X18" s="4"/>
    </x:row>
    <x:row r="19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  <x:c r="M19" s="3"/>
      <x:c r="N19" s="3"/>
      <x:c r="O19" s="3"/>
      <x:c r="P19" s="4"/>
      <x:c r="Q19" s="4"/>
      <x:c r="R19" s="4"/>
      <x:c r="S19" s="4"/>
      <x:c r="T19" s="4"/>
      <x:c r="U19" s="4"/>
      <x:c r="V19" s="4"/>
      <x:c r="W19" s="4"/>
      <x:c r="X19" s="4"/>
    </x:row>
    <x:row r="20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  <x:c r="L20" s="3"/>
      <x:c r="M20" s="3"/>
      <x:c r="N20" s="3"/>
      <x:c r="O20" s="3"/>
      <x:c r="P20" s="4"/>
      <x:c r="Q20" s="4"/>
      <x:c r="R20" s="4"/>
      <x:c r="S20" s="4"/>
      <x:c r="T20" s="4"/>
      <x:c r="U20" s="4"/>
      <x:c r="V20" s="4"/>
      <x:c r="W20" s="4"/>
      <x:c r="X20" s="4"/>
    </x:row>
    <x:row r="2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4"/>
      <x:c r="Q21" s="4"/>
      <x:c r="R21" s="4"/>
      <x:c r="S21" s="4"/>
      <x:c r="T21" s="4"/>
      <x:c r="U21" s="4"/>
      <x:c r="V21" s="4"/>
      <x:c r="W21" s="4"/>
      <x:c r="X21" s="4"/>
    </x:row>
    <x:row r="22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  <x:c r="N22" s="3"/>
      <x:c r="O22" s="3"/>
      <x:c r="P22" s="4"/>
      <x:c r="Q22" s="4"/>
      <x:c r="R22" s="4"/>
      <x:c r="S22" s="4"/>
      <x:c r="T22" s="4"/>
      <x:c r="U22" s="4"/>
      <x:c r="V22" s="4"/>
      <x:c r="W22" s="4"/>
      <x:c r="X22" s="4"/>
    </x:row>
    <x:row r="23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  <x:c r="L23" s="3"/>
      <x:c r="M23" s="3"/>
      <x:c r="N23" s="3"/>
      <x:c r="O23" s="3"/>
      <x:c r="P23" s="4"/>
      <x:c r="Q23" s="4"/>
      <x:c r="R23" s="4"/>
      <x:c r="S23" s="4"/>
      <x:c r="T23" s="4"/>
      <x:c r="U23" s="4"/>
      <x:c r="V23" s="4"/>
      <x:c r="W23" s="4"/>
      <x:c r="X23" s="4"/>
    </x:row>
    <x:row r="24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  <x:c r="N24" s="3"/>
      <x:c r="O24" s="3"/>
      <x:c r="P24" s="4"/>
      <x:c r="Q24" s="4"/>
      <x:c r="R24" s="4"/>
      <x:c r="S24" s="4"/>
      <x:c r="T24" s="4"/>
      <x:c r="U24" s="4"/>
      <x:c r="V24" s="4"/>
      <x:c r="W24" s="4"/>
      <x:c r="X24" s="4"/>
    </x:row>
    <x:row r="25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  <x:c r="N25" s="3"/>
      <x:c r="O25" s="3"/>
      <x:c r="P25" s="4"/>
      <x:c r="Q25" s="4"/>
      <x:c r="R25" s="4"/>
      <x:c r="S25" s="4"/>
      <x:c r="T25" s="4"/>
      <x:c r="U25" s="4"/>
      <x:c r="V25" s="4"/>
      <x:c r="W25" s="4"/>
      <x:c r="X25" s="4"/>
    </x:row>
    <x:row r="26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  <x:c r="N26" s="3"/>
      <x:c r="O26" s="3"/>
      <x:c r="P26" s="4"/>
      <x:c r="Q26" s="4"/>
      <x:c r="R26" s="4"/>
      <x:c r="S26" s="4"/>
      <x:c r="T26" s="4"/>
      <x:c r="U26" s="4"/>
      <x:c r="V26" s="4"/>
      <x:c r="W26" s="4"/>
      <x:c r="X26" s="4"/>
    </x:row>
    <x:row r="27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4"/>
      <x:c r="Q27" s="4"/>
      <x:c r="R27" s="4"/>
      <x:c r="S27" s="4"/>
      <x:c r="T27" s="4"/>
      <x:c r="U27" s="4"/>
      <x:c r="V27" s="4"/>
      <x:c r="W27" s="4"/>
      <x:c r="X27" s="4"/>
    </x:row>
    <x:row r="28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  <x:c r="N28" s="3"/>
      <x:c r="O28" s="3"/>
      <x:c r="P28" s="4"/>
      <x:c r="Q28" s="4"/>
      <x:c r="R28" s="4"/>
      <x:c r="S28" s="4"/>
      <x:c r="T28" s="4"/>
      <x:c r="U28" s="4"/>
      <x:c r="V28" s="4"/>
      <x:c r="W28" s="4"/>
      <x:c r="X28" s="4"/>
    </x:row>
    <x:row r="29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  <x:c r="P29" s="4"/>
      <x:c r="Q29" s="4"/>
      <x:c r="R29" s="4"/>
      <x:c r="S29" s="4"/>
      <x:c r="T29" s="4"/>
      <x:c r="U29" s="4"/>
      <x:c r="V29" s="4"/>
      <x:c r="W29" s="4"/>
      <x:c r="X29" s="4"/>
    </x:row>
    <x:row r="30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  <x:c r="M30" s="3"/>
      <x:c r="N30" s="3"/>
      <x:c r="O30" s="3"/>
      <x:c r="P30" s="4"/>
      <x:c r="Q30" s="4"/>
      <x:c r="R30" s="4"/>
      <x:c r="S30" s="4"/>
      <x:c r="T30" s="4"/>
      <x:c r="U30" s="4"/>
      <x:c r="V30" s="4"/>
      <x:c r="W30" s="4"/>
      <x:c r="X30" s="4"/>
    </x:row>
    <x:row r="3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  <x:c r="M31" s="3"/>
      <x:c r="N31" s="3"/>
      <x:c r="O31" s="3"/>
      <x:c r="P31" s="4"/>
      <x:c r="Q31" s="4"/>
      <x:c r="R31" s="4"/>
      <x:c r="S31" s="4"/>
      <x:c r="T31" s="4"/>
      <x:c r="U31" s="4"/>
      <x:c r="V31" s="4"/>
      <x:c r="W31" s="4"/>
      <x:c r="X31" s="4"/>
    </x:row>
    <x:row r="32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  <x:c r="N32" s="3"/>
      <x:c r="O32" s="3"/>
      <x:c r="P32" s="4"/>
      <x:c r="Q32" s="4"/>
      <x:c r="R32" s="4"/>
      <x:c r="S32" s="4"/>
      <x:c r="T32" s="4"/>
      <x:c r="U32" s="4"/>
      <x:c r="V32" s="4"/>
      <x:c r="W32" s="4"/>
      <x:c r="X32" s="4"/>
    </x:row>
    <x:row r="33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  <x:c r="N33" s="3"/>
      <x:c r="O33" s="3"/>
      <x:c r="P33" s="4"/>
      <x:c r="Q33" s="4"/>
      <x:c r="R33" s="4"/>
      <x:c r="S33" s="4"/>
      <x:c r="T33" s="4"/>
      <x:c r="U33" s="4"/>
      <x:c r="V33" s="4"/>
      <x:c r="W33" s="4"/>
      <x:c r="X33" s="4"/>
    </x:row>
    <x:row r="34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  <x:c r="O34" s="3"/>
      <x:c r="P34" s="4"/>
      <x:c r="Q34" s="4"/>
      <x:c r="R34" s="4"/>
      <x:c r="S34" s="4"/>
      <x:c r="T34" s="4"/>
      <x:c r="U34" s="4"/>
      <x:c r="V34" s="4"/>
      <x:c r="W34" s="4"/>
      <x:c r="X34" s="4"/>
    </x:row>
    <x:row r="35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4"/>
      <x:c r="Q35" s="4"/>
      <x:c r="R35" s="4"/>
      <x:c r="S35" s="4"/>
      <x:c r="T35" s="4"/>
      <x:c r="U35" s="4"/>
      <x:c r="V35" s="4"/>
      <x:c r="W35" s="4"/>
      <x:c r="X35" s="4"/>
    </x:row>
    <x:row r="36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4"/>
      <x:c r="Q36" s="4"/>
      <x:c r="R36" s="4"/>
      <x:c r="S36" s="4"/>
      <x:c r="T36" s="4"/>
      <x:c r="U36" s="4"/>
      <x:c r="V36" s="4"/>
      <x:c r="W36" s="4"/>
      <x:c r="X36" s="4"/>
    </x:row>
    <x:row r="37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4"/>
      <x:c r="Q37" s="4"/>
      <x:c r="R37" s="4"/>
      <x:c r="S37" s="4"/>
      <x:c r="T37" s="4"/>
      <x:c r="U37" s="4"/>
      <x:c r="V37" s="4"/>
      <x:c r="W37" s="4"/>
      <x:c r="X37" s="4"/>
    </x:row>
    <x:row r="38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4"/>
      <x:c r="Q38" s="4"/>
      <x:c r="R38" s="4"/>
      <x:c r="S38" s="4"/>
      <x:c r="T38" s="4"/>
      <x:c r="U38" s="4"/>
      <x:c r="V38" s="4"/>
      <x:c r="W38" s="4"/>
      <x:c r="X38" s="4"/>
    </x:row>
    <x:row r="39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4"/>
      <x:c r="Q39" s="4"/>
      <x:c r="R39" s="4"/>
      <x:c r="S39" s="4"/>
      <x:c r="T39" s="4"/>
      <x:c r="U39" s="4"/>
      <x:c r="V39" s="4"/>
      <x:c r="W39" s="4"/>
      <x:c r="X39" s="4"/>
    </x:row>
    <x:row r="40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4"/>
      <x:c r="Q40" s="4"/>
      <x:c r="R40" s="4"/>
      <x:c r="S40" s="4"/>
      <x:c r="T40" s="4"/>
      <x:c r="U40" s="4"/>
      <x:c r="V40" s="4"/>
      <x:c r="W40" s="4"/>
      <x:c r="X40" s="4"/>
    </x:row>
    <x:row r="4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4"/>
      <x:c r="Q41" s="4"/>
      <x:c r="R41" s="4"/>
      <x:c r="S41" s="4"/>
      <x:c r="T41" s="4"/>
      <x:c r="U41" s="4"/>
      <x:c r="V41" s="4"/>
      <x:c r="W41" s="4"/>
      <x:c r="X41" s="4"/>
    </x:row>
    <x:row r="42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4"/>
      <x:c r="Q42" s="4"/>
      <x:c r="R42" s="4"/>
      <x:c r="S42" s="4"/>
      <x:c r="T42" s="4"/>
      <x:c r="U42" s="4"/>
      <x:c r="V42" s="4"/>
      <x:c r="W42" s="4"/>
      <x:c r="X42" s="4"/>
    </x:row>
    <x:row r="43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4"/>
      <x:c r="Q43" s="4"/>
      <x:c r="R43" s="4"/>
      <x:c r="S43" s="4"/>
      <x:c r="T43" s="4"/>
      <x:c r="U43" s="4"/>
      <x:c r="V43" s="4"/>
      <x:c r="W43" s="4"/>
      <x:c r="X43" s="4"/>
    </x:row>
    <x:row r="44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4"/>
      <x:c r="Q44" s="4"/>
      <x:c r="R44" s="4"/>
      <x:c r="S44" s="4"/>
      <x:c r="T44" s="4"/>
      <x:c r="U44" s="4"/>
      <x:c r="V44" s="4"/>
      <x:c r="W44" s="4"/>
      <x:c r="X44" s="4"/>
    </x:row>
    <x:row r="45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4"/>
      <x:c r="Q45" s="4"/>
      <x:c r="R45" s="4"/>
      <x:c r="S45" s="4"/>
      <x:c r="T45" s="4"/>
      <x:c r="U45" s="4"/>
      <x:c r="V45" s="4"/>
      <x:c r="W45" s="4"/>
      <x:c r="X45" s="4"/>
    </x:row>
    <x:row r="46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4"/>
      <x:c r="Q46" s="4"/>
      <x:c r="R46" s="4"/>
      <x:c r="S46" s="4"/>
      <x:c r="T46" s="4"/>
      <x:c r="U46" s="4"/>
      <x:c r="V46" s="4"/>
      <x:c r="W46" s="4"/>
      <x:c r="X46" s="4"/>
    </x:row>
    <x:row r="47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4"/>
      <x:c r="Q47" s="4"/>
      <x:c r="R47" s="4"/>
      <x:c r="S47" s="4"/>
      <x:c r="T47" s="4"/>
      <x:c r="U47" s="4"/>
      <x:c r="V47" s="4"/>
      <x:c r="W47" s="4"/>
      <x:c r="X47" s="4"/>
    </x:row>
    <x:row r="48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4"/>
      <x:c r="Q48" s="4"/>
      <x:c r="R48" s="4"/>
      <x:c r="S48" s="4"/>
      <x:c r="T48" s="4"/>
      <x:c r="U48" s="4"/>
      <x:c r="V48" s="4"/>
      <x:c r="W48" s="4"/>
      <x:c r="X48" s="4"/>
    </x:row>
    <x:row r="49">
      <x:c r="A49" s="3"/>
      <x:c r="B49" s="3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4"/>
      <x:c r="Q49" s="4"/>
      <x:c r="R49" s="4"/>
      <x:c r="S49" s="4"/>
      <x:c r="T49" s="4"/>
      <x:c r="U49" s="4"/>
      <x:c r="V49" s="4"/>
      <x:c r="W49" s="4"/>
      <x:c r="X49" s="4"/>
    </x:row>
    <x:row r="50">
      <x:c r="A50" s="3"/>
      <x:c r="B50" s="3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4"/>
      <x:c r="Q50" s="4"/>
      <x:c r="R50" s="4"/>
      <x:c r="S50" s="4"/>
      <x:c r="T50" s="4"/>
      <x:c r="U50" s="4"/>
      <x:c r="V50" s="4"/>
      <x:c r="W50" s="4"/>
      <x:c r="X50" s="4"/>
    </x:row>
    <x:row r="51">
      <x:c r="A51" s="3"/>
      <x:c r="B51" s="3"/>
      <x:c r="C51" s="3"/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  <x:c r="O51" s="3"/>
      <x:c r="P51" s="4"/>
      <x:c r="Q51" s="4"/>
      <x:c r="R51" s="4"/>
      <x:c r="S51" s="4"/>
      <x:c r="T51" s="4"/>
      <x:c r="U51" s="4"/>
      <x:c r="V51" s="4"/>
      <x:c r="W51" s="4"/>
      <x:c r="X51" s="4"/>
    </x:row>
    <x:row r="52">
      <x:c r="A52" s="3"/>
      <x:c r="B52" s="3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4"/>
      <x:c r="Q52" s="4"/>
      <x:c r="R52" s="4"/>
      <x:c r="S52" s="4"/>
      <x:c r="T52" s="4"/>
      <x:c r="U52" s="4"/>
      <x:c r="V52" s="4"/>
      <x:c r="W52" s="4"/>
      <x:c r="X52" s="4"/>
    </x:row>
    <x:row r="53">
      <x:c r="A53" s="3"/>
      <x:c r="B53" s="3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4"/>
      <x:c r="Q53" s="4"/>
      <x:c r="R53" s="4"/>
      <x:c r="S53" s="4"/>
      <x:c r="T53" s="4"/>
      <x:c r="U53" s="4"/>
      <x:c r="V53" s="4"/>
      <x:c r="W53" s="4"/>
      <x:c r="X53" s="4"/>
    </x:row>
    <x:row r="54">
      <x:c r="A54" s="3"/>
      <x:c r="B54" s="3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4"/>
      <x:c r="Q54" s="4"/>
      <x:c r="R54" s="4"/>
      <x:c r="S54" s="4"/>
      <x:c r="T54" s="4"/>
      <x:c r="U54" s="4"/>
      <x:c r="V54" s="4"/>
      <x:c r="W54" s="4"/>
      <x:c r="X54" s="4"/>
    </x:row>
    <x:row r="55">
      <x:c r="A55" s="3"/>
      <x:c r="B55" s="3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4"/>
      <x:c r="Q55" s="4"/>
      <x:c r="R55" s="4"/>
      <x:c r="S55" s="4"/>
      <x:c r="T55" s="4"/>
      <x:c r="U55" s="4"/>
      <x:c r="V55" s="4"/>
      <x:c r="W55" s="4"/>
      <x:c r="X55" s="4"/>
    </x:row>
    <x:row r="56">
      <x:c r="A56" s="3"/>
      <x:c r="B56" s="3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4"/>
      <x:c r="Q56" s="4"/>
      <x:c r="R56" s="4"/>
      <x:c r="S56" s="4"/>
      <x:c r="T56" s="4"/>
      <x:c r="U56" s="4"/>
      <x:c r="V56" s="4"/>
      <x:c r="W56" s="4"/>
      <x:c r="X56" s="4"/>
    </x:row>
    <x:row r="57">
      <x:c r="A57" s="3"/>
      <x:c r="B57" s="3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4"/>
      <x:c r="Q57" s="4"/>
      <x:c r="R57" s="4"/>
      <x:c r="S57" s="4"/>
      <x:c r="T57" s="4"/>
      <x:c r="U57" s="4"/>
      <x:c r="V57" s="4"/>
      <x:c r="W57" s="4"/>
      <x:c r="X57" s="4"/>
    </x:row>
    <x:row r="58">
      <x:c r="A58" s="3"/>
      <x:c r="B58" s="3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4"/>
      <x:c r="Q58" s="4"/>
      <x:c r="R58" s="4"/>
      <x:c r="S58" s="4"/>
      <x:c r="T58" s="4"/>
      <x:c r="U58" s="4"/>
      <x:c r="V58" s="4"/>
      <x:c r="W58" s="4"/>
      <x:c r="X58" s="4"/>
    </x:row>
    <x:row r="59">
      <x:c r="A59" s="3"/>
      <x:c r="B59" s="3"/>
      <x:c r="C59" s="3"/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  <x:c r="O59" s="3"/>
      <x:c r="P59" s="4"/>
      <x:c r="Q59" s="4"/>
      <x:c r="R59" s="4"/>
      <x:c r="S59" s="4"/>
      <x:c r="T59" s="4"/>
      <x:c r="U59" s="4"/>
      <x:c r="V59" s="4"/>
      <x:c r="W59" s="4"/>
      <x:c r="X59" s="4"/>
    </x:row>
    <x:row r="60">
      <x:c r="A60" s="3"/>
      <x:c r="B60" s="3"/>
      <x:c r="C60" s="3"/>
      <x:c r="D60" s="3"/>
      <x:c r="E60" s="3"/>
      <x:c r="F60" s="3"/>
      <x:c r="G60" s="3"/>
      <x:c r="H60" s="3"/>
      <x:c r="I60" s="3"/>
      <x:c r="J60" s="3"/>
      <x:c r="K60" s="3"/>
      <x:c r="L60" s="3"/>
      <x:c r="M60" s="3"/>
      <x:c r="N60" s="3"/>
      <x:c r="O60" s="3"/>
      <x:c r="P60" s="4"/>
      <x:c r="Q60" s="4"/>
      <x:c r="R60" s="4"/>
      <x:c r="S60" s="4"/>
      <x:c r="T60" s="4"/>
      <x:c r="U60" s="4"/>
      <x:c r="V60" s="4"/>
      <x:c r="W60" s="4"/>
      <x:c r="X60" s="4"/>
    </x:row>
    <x:row r="61">
      <x:c r="A61" s="3"/>
      <x:c r="B61" s="3"/>
      <x:c r="C61" s="3"/>
      <x:c r="D61" s="3"/>
      <x:c r="E61" s="3"/>
      <x:c r="F61" s="3"/>
      <x:c r="G61" s="3"/>
      <x:c r="H61" s="3"/>
      <x:c r="I61" s="3"/>
      <x:c r="J61" s="3"/>
      <x:c r="K61" s="3"/>
      <x:c r="L61" s="3"/>
      <x:c r="M61" s="3"/>
      <x:c r="N61" s="3"/>
      <x:c r="O61" s="3"/>
      <x:c r="P61" s="4"/>
      <x:c r="Q61" s="4"/>
      <x:c r="R61" s="4"/>
      <x:c r="S61" s="4"/>
      <x:c r="T61" s="4"/>
      <x:c r="U61" s="4"/>
      <x:c r="V61" s="4"/>
      <x:c r="W61" s="4"/>
      <x:c r="X61" s="4"/>
    </x:row>
    <x:row r="62">
      <x:c r="A62" s="3"/>
      <x:c r="B62" s="3"/>
      <x:c r="C62" s="3"/>
      <x:c r="D62" s="3"/>
      <x:c r="E62" s="3"/>
      <x:c r="F62" s="3"/>
      <x:c r="G62" s="3"/>
      <x:c r="H62" s="3"/>
      <x:c r="I62" s="3"/>
      <x:c r="J62" s="3"/>
      <x:c r="K62" s="3"/>
      <x:c r="L62" s="3"/>
      <x:c r="M62" s="3"/>
      <x:c r="N62" s="3"/>
      <x:c r="O62" s="3"/>
      <x:c r="P62" s="4"/>
      <x:c r="Q62" s="4"/>
      <x:c r="R62" s="4"/>
      <x:c r="S62" s="4"/>
      <x:c r="T62" s="4"/>
      <x:c r="U62" s="4"/>
      <x:c r="V62" s="4"/>
      <x:c r="W62" s="4"/>
      <x:c r="X62" s="4"/>
    </x:row>
    <x:row r="63">
      <x:c r="A63" s="3"/>
      <x:c r="B63" s="3"/>
      <x:c r="C63" s="3"/>
      <x:c r="D63" s="3"/>
      <x:c r="E63" s="3"/>
      <x:c r="F63" s="3"/>
      <x:c r="G63" s="3"/>
      <x:c r="H63" s="3"/>
      <x:c r="I63" s="3"/>
      <x:c r="J63" s="3"/>
      <x:c r="K63" s="3"/>
      <x:c r="L63" s="3"/>
      <x:c r="M63" s="3"/>
      <x:c r="N63" s="3"/>
      <x:c r="O63" s="3"/>
      <x:c r="P63" s="4"/>
      <x:c r="Q63" s="4"/>
      <x:c r="R63" s="4"/>
      <x:c r="S63" s="4"/>
      <x:c r="T63" s="4"/>
      <x:c r="U63" s="4"/>
      <x:c r="V63" s="4"/>
      <x:c r="W63" s="4"/>
      <x:c r="X63" s="4"/>
    </x:row>
    <x:row r="64">
      <x:c r="A64" s="3"/>
      <x:c r="B64" s="3"/>
      <x:c r="C64" s="3"/>
      <x:c r="D64" s="3"/>
      <x:c r="E64" s="3"/>
      <x:c r="F64" s="3"/>
      <x:c r="G64" s="3"/>
      <x:c r="H64" s="3"/>
      <x:c r="I64" s="3"/>
      <x:c r="J64" s="3"/>
      <x:c r="K64" s="3"/>
      <x:c r="L64" s="3"/>
      <x:c r="M64" s="3"/>
      <x:c r="N64" s="3"/>
      <x:c r="O64" s="3"/>
      <x:c r="P64" s="4"/>
      <x:c r="Q64" s="4"/>
      <x:c r="R64" s="4"/>
      <x:c r="S64" s="4"/>
      <x:c r="T64" s="4"/>
      <x:c r="U64" s="4"/>
      <x:c r="V64" s="4"/>
      <x:c r="W64" s="4"/>
      <x:c r="X64" s="4"/>
    </x:row>
    <x:row r="65">
      <x:c r="A65" s="3"/>
      <x:c r="B65" s="3"/>
      <x:c r="C65" s="3"/>
      <x:c r="D65" s="3"/>
      <x:c r="E65" s="3"/>
      <x:c r="F65" s="3"/>
      <x:c r="G65" s="3"/>
      <x:c r="H65" s="3"/>
      <x:c r="I65" s="3"/>
      <x:c r="J65" s="3"/>
      <x:c r="K65" s="3"/>
      <x:c r="L65" s="3"/>
      <x:c r="M65" s="3"/>
      <x:c r="N65" s="3"/>
      <x:c r="O65" s="3"/>
      <x:c r="P65" s="4"/>
      <x:c r="Q65" s="4"/>
      <x:c r="R65" s="4"/>
      <x:c r="S65" s="4"/>
      <x:c r="T65" s="4"/>
      <x:c r="U65" s="4"/>
      <x:c r="V65" s="4"/>
      <x:c r="W65" s="4"/>
      <x:c r="X65" s="4"/>
    </x:row>
    <x:row r="66">
      <x:c r="A66" s="3"/>
      <x:c r="B66" s="3"/>
      <x:c r="C66" s="3"/>
      <x:c r="D66" s="3"/>
      <x:c r="E66" s="3"/>
      <x:c r="F66" s="3"/>
      <x:c r="G66" s="3"/>
      <x:c r="H66" s="3"/>
      <x:c r="I66" s="3"/>
      <x:c r="J66" s="3"/>
      <x:c r="K66" s="3"/>
      <x:c r="L66" s="3"/>
      <x:c r="M66" s="3"/>
      <x:c r="N66" s="3"/>
      <x:c r="O66" s="3"/>
      <x:c r="P66" s="4"/>
      <x:c r="Q66" s="4"/>
      <x:c r="R66" s="4"/>
      <x:c r="S66" s="4"/>
      <x:c r="T66" s="4"/>
      <x:c r="U66" s="4"/>
      <x:c r="V66" s="4"/>
      <x:c r="W66" s="4"/>
      <x:c r="X66" s="4"/>
    </x:row>
    <x:row r="67">
      <x:c r="A67" s="3"/>
      <x:c r="B67" s="3"/>
      <x:c r="C67" s="3"/>
      <x:c r="D67" s="3"/>
      <x:c r="E67" s="3"/>
      <x:c r="F67" s="3"/>
      <x:c r="G67" s="3"/>
      <x:c r="H67" s="3"/>
      <x:c r="I67" s="3"/>
      <x:c r="J67" s="3"/>
      <x:c r="K67" s="3"/>
      <x:c r="L67" s="3"/>
      <x:c r="M67" s="3"/>
      <x:c r="N67" s="3"/>
      <x:c r="O67" s="3"/>
      <x:c r="P67" s="4"/>
      <x:c r="Q67" s="4"/>
      <x:c r="R67" s="4"/>
      <x:c r="S67" s="4"/>
      <x:c r="T67" s="4"/>
      <x:c r="U67" s="4"/>
      <x:c r="V67" s="4"/>
      <x:c r="W67" s="4"/>
      <x:c r="X67" s="4"/>
    </x:row>
    <x:row r="68">
      <x:c r="A68" s="3"/>
      <x:c r="B68" s="3"/>
      <x:c r="C68" s="3"/>
      <x:c r="D68" s="3"/>
      <x:c r="E68" s="3"/>
      <x:c r="F68" s="3"/>
      <x:c r="G68" s="3"/>
      <x:c r="H68" s="3"/>
      <x:c r="I68" s="3"/>
      <x:c r="J68" s="3"/>
      <x:c r="K68" s="3"/>
      <x:c r="L68" s="3"/>
      <x:c r="M68" s="3"/>
      <x:c r="N68" s="3"/>
      <x:c r="O68" s="3"/>
      <x:c r="P68" s="4"/>
      <x:c r="Q68" s="4"/>
      <x:c r="R68" s="4"/>
      <x:c r="S68" s="4"/>
      <x:c r="T68" s="4"/>
      <x:c r="U68" s="4"/>
      <x:c r="V68" s="4"/>
      <x:c r="W68" s="4"/>
      <x:c r="X68" s="4"/>
    </x:row>
    <x:row r="69">
      <x:c r="A69" s="3"/>
      <x:c r="B69" s="3"/>
      <x:c r="C69" s="3"/>
      <x:c r="D69" s="3"/>
      <x:c r="E69" s="3"/>
      <x:c r="F69" s="3"/>
      <x:c r="G69" s="3"/>
      <x:c r="H69" s="3"/>
      <x:c r="I69" s="3"/>
      <x:c r="J69" s="3"/>
      <x:c r="K69" s="3"/>
      <x:c r="L69" s="3"/>
      <x:c r="M69" s="3"/>
      <x:c r="N69" s="3"/>
      <x:c r="O69" s="3"/>
      <x:c r="P69" s="4"/>
      <x:c r="Q69" s="4"/>
      <x:c r="R69" s="4"/>
      <x:c r="S69" s="4"/>
      <x:c r="T69" s="4"/>
      <x:c r="U69" s="4"/>
      <x:c r="V69" s="4"/>
      <x:c r="W69" s="4"/>
      <x:c r="X69" s="4"/>
    </x:row>
    <x:row r="70">
      <x:c r="A70" s="3"/>
      <x:c r="B70" s="3"/>
      <x:c r="C70" s="3"/>
      <x:c r="D70" s="3"/>
      <x:c r="E70" s="3"/>
      <x:c r="F70" s="3"/>
      <x:c r="G70" s="3"/>
      <x:c r="H70" s="3"/>
      <x:c r="I70" s="3"/>
      <x:c r="J70" s="3"/>
      <x:c r="K70" s="3"/>
      <x:c r="L70" s="3"/>
      <x:c r="M70" s="3"/>
      <x:c r="N70" s="3"/>
      <x:c r="O70" s="3"/>
      <x:c r="P70" s="4"/>
      <x:c r="Q70" s="4"/>
      <x:c r="R70" s="4"/>
      <x:c r="S70" s="4"/>
      <x:c r="T70" s="4"/>
      <x:c r="U70" s="4"/>
      <x:c r="V70" s="4"/>
      <x:c r="W70" s="4"/>
      <x:c r="X70" s="4"/>
    </x:row>
    <x:row r="71">
      <x:c r="A71" s="3"/>
      <x:c r="B71" s="3"/>
      <x:c r="C71" s="3"/>
      <x:c r="D71" s="3"/>
      <x:c r="E71" s="3"/>
      <x:c r="F71" s="3"/>
      <x:c r="G71" s="3"/>
      <x:c r="H71" s="3"/>
      <x:c r="I71" s="3"/>
      <x:c r="J71" s="3"/>
      <x:c r="K71" s="3"/>
      <x:c r="L71" s="3"/>
      <x:c r="M71" s="3"/>
      <x:c r="N71" s="3"/>
      <x:c r="O71" s="3"/>
      <x:c r="P71" s="4"/>
      <x:c r="Q71" s="4"/>
      <x:c r="R71" s="4"/>
      <x:c r="S71" s="4"/>
      <x:c r="T71" s="4"/>
      <x:c r="U71" s="4"/>
      <x:c r="V71" s="4"/>
      <x:c r="W71" s="4"/>
      <x:c r="X71" s="4"/>
    </x:row>
    <x:row r="72">
      <x:c r="A72" s="3"/>
      <x:c r="B72" s="3"/>
      <x:c r="C72" s="3"/>
      <x:c r="D72" s="3"/>
      <x:c r="E72" s="3"/>
      <x:c r="F72" s="3"/>
      <x:c r="G72" s="3"/>
      <x:c r="H72" s="3"/>
      <x:c r="I72" s="3"/>
      <x:c r="J72" s="3"/>
      <x:c r="K72" s="3"/>
      <x:c r="L72" s="3"/>
      <x:c r="M72" s="3"/>
      <x:c r="N72" s="3"/>
      <x:c r="O72" s="3"/>
      <x:c r="P72" s="4"/>
      <x:c r="Q72" s="4"/>
      <x:c r="R72" s="4"/>
      <x:c r="S72" s="4"/>
      <x:c r="T72" s="4"/>
      <x:c r="U72" s="4"/>
      <x:c r="V72" s="4"/>
      <x:c r="W72" s="4"/>
      <x:c r="X72" s="4"/>
    </x:row>
    <x:row r="73">
      <x:c r="A73" s="3"/>
      <x:c r="B73" s="3"/>
      <x:c r="C73" s="3"/>
      <x:c r="D73" s="3"/>
      <x:c r="E73" s="3"/>
      <x:c r="F73" s="3"/>
      <x:c r="G73" s="3"/>
      <x:c r="H73" s="3"/>
      <x:c r="I73" s="3"/>
      <x:c r="J73" s="3"/>
      <x:c r="K73" s="3"/>
      <x:c r="L73" s="3"/>
      <x:c r="M73" s="3"/>
      <x:c r="N73" s="3"/>
      <x:c r="O73" s="3"/>
      <x:c r="P73" s="4"/>
      <x:c r="Q73" s="4"/>
      <x:c r="R73" s="4"/>
      <x:c r="S73" s="4"/>
      <x:c r="T73" s="4"/>
      <x:c r="U73" s="4"/>
      <x:c r="V73" s="4"/>
      <x:c r="W73" s="4"/>
      <x:c r="X73" s="4"/>
    </x:row>
    <x:row r="74">
      <x:c r="A74" s="3"/>
      <x:c r="B74" s="3"/>
      <x:c r="C74" s="3"/>
      <x:c r="D74" s="3"/>
      <x:c r="E74" s="3"/>
      <x:c r="F74" s="3"/>
      <x:c r="G74" s="3"/>
      <x:c r="H74" s="3"/>
      <x:c r="I74" s="3"/>
      <x:c r="J74" s="3"/>
      <x:c r="K74" s="3"/>
      <x:c r="L74" s="3"/>
      <x:c r="M74" s="3"/>
      <x:c r="N74" s="3"/>
      <x:c r="O74" s="3"/>
      <x:c r="P74" s="4"/>
      <x:c r="Q74" s="4"/>
      <x:c r="R74" s="4"/>
      <x:c r="S74" s="4"/>
      <x:c r="T74" s="4"/>
      <x:c r="U74" s="4"/>
      <x:c r="V74" s="4"/>
      <x:c r="W74" s="4"/>
      <x:c r="X74" s="4"/>
    </x:row>
    <x:row r="75">
      <x:c r="A75" s="3"/>
      <x:c r="B75" s="3"/>
      <x:c r="C75" s="3"/>
      <x:c r="D75" s="3"/>
      <x:c r="E75" s="3"/>
      <x:c r="F75" s="3"/>
      <x:c r="G75" s="3"/>
      <x:c r="H75" s="3"/>
      <x:c r="I75" s="3"/>
      <x:c r="J75" s="3"/>
      <x:c r="K75" s="3"/>
      <x:c r="L75" s="3"/>
      <x:c r="M75" s="3"/>
      <x:c r="N75" s="3"/>
      <x:c r="O75" s="3"/>
      <x:c r="P75" s="4"/>
      <x:c r="Q75" s="4"/>
      <x:c r="R75" s="4"/>
      <x:c r="S75" s="4"/>
      <x:c r="T75" s="4"/>
      <x:c r="U75" s="4"/>
      <x:c r="V75" s="4"/>
      <x:c r="W75" s="4"/>
      <x:c r="X75" s="4"/>
    </x:row>
    <x:row r="76">
      <x:c r="A76" s="3"/>
      <x:c r="B76" s="3"/>
      <x:c r="C76" s="3"/>
      <x:c r="D76" s="3"/>
      <x:c r="E76" s="3"/>
      <x:c r="F76" s="3"/>
      <x:c r="G76" s="3"/>
      <x:c r="H76" s="3"/>
      <x:c r="I76" s="3"/>
      <x:c r="J76" s="3"/>
      <x:c r="K76" s="3"/>
      <x:c r="L76" s="3"/>
      <x:c r="M76" s="3"/>
      <x:c r="N76" s="3"/>
      <x:c r="O76" s="3"/>
      <x:c r="P76" s="4"/>
      <x:c r="Q76" s="4"/>
      <x:c r="R76" s="4"/>
      <x:c r="S76" s="4"/>
      <x:c r="T76" s="4"/>
      <x:c r="U76" s="4"/>
      <x:c r="V76" s="4"/>
      <x:c r="W76" s="4"/>
      <x:c r="X76" s="4"/>
    </x:row>
    <x:row r="77">
      <x:c r="A77" s="3"/>
      <x:c r="B77" s="3"/>
      <x:c r="C77" s="3"/>
      <x:c r="D77" s="3"/>
      <x:c r="E77" s="3"/>
      <x:c r="F77" s="3"/>
      <x:c r="G77" s="3"/>
      <x:c r="H77" s="3"/>
      <x:c r="I77" s="3"/>
      <x:c r="J77" s="3"/>
      <x:c r="K77" s="3"/>
      <x:c r="L77" s="3"/>
      <x:c r="M77" s="3"/>
      <x:c r="N77" s="3"/>
      <x:c r="O77" s="3"/>
      <x:c r="P77" s="4"/>
      <x:c r="Q77" s="4"/>
      <x:c r="R77" s="4"/>
      <x:c r="S77" s="4"/>
      <x:c r="T77" s="4"/>
      <x:c r="U77" s="4"/>
      <x:c r="V77" s="4"/>
      <x:c r="W77" s="4"/>
      <x:c r="X77" s="4"/>
    </x:row>
    <x:row r="78">
      <x:c r="A78" s="3"/>
      <x:c r="B78" s="3"/>
      <x:c r="C78" s="3"/>
      <x:c r="D78" s="3"/>
      <x:c r="E78" s="3"/>
      <x:c r="F78" s="3"/>
      <x:c r="G78" s="3"/>
      <x:c r="H78" s="3"/>
      <x:c r="I78" s="3"/>
      <x:c r="J78" s="3"/>
      <x:c r="K78" s="3"/>
      <x:c r="L78" s="3"/>
      <x:c r="M78" s="3"/>
      <x:c r="N78" s="3"/>
      <x:c r="O78" s="3"/>
      <x:c r="P78" s="4"/>
      <x:c r="Q78" s="4"/>
      <x:c r="R78" s="4"/>
      <x:c r="S78" s="4"/>
      <x:c r="T78" s="4"/>
      <x:c r="U78" s="4"/>
      <x:c r="V78" s="4"/>
      <x:c r="W78" s="4"/>
      <x:c r="X78" s="4"/>
    </x:row>
    <x:row r="79">
      <x:c r="A79" s="3"/>
      <x:c r="B79" s="3"/>
      <x:c r="C79" s="3"/>
      <x:c r="D79" s="3"/>
      <x:c r="E79" s="3"/>
      <x:c r="F79" s="3"/>
      <x:c r="G79" s="3"/>
      <x:c r="H79" s="3"/>
      <x:c r="I79" s="3"/>
      <x:c r="J79" s="3"/>
      <x:c r="K79" s="3"/>
      <x:c r="L79" s="3"/>
      <x:c r="M79" s="3"/>
      <x:c r="N79" s="3"/>
      <x:c r="O79" s="3"/>
      <x:c r="P79" s="4"/>
      <x:c r="Q79" s="4"/>
      <x:c r="R79" s="4"/>
      <x:c r="S79" s="4"/>
      <x:c r="T79" s="4"/>
      <x:c r="U79" s="4"/>
      <x:c r="V79" s="4"/>
      <x:c r="W79" s="4"/>
      <x:c r="X79" s="4"/>
    </x:row>
    <x:row r="80">
      <x:c r="A80" s="3"/>
      <x:c r="B80" s="3"/>
      <x:c r="C80" s="3"/>
      <x:c r="D80" s="3"/>
      <x:c r="E80" s="3"/>
      <x:c r="F80" s="3"/>
      <x:c r="G80" s="3"/>
      <x:c r="H80" s="3"/>
      <x:c r="I80" s="3"/>
      <x:c r="J80" s="3"/>
      <x:c r="K80" s="3"/>
      <x:c r="L80" s="3"/>
      <x:c r="M80" s="3"/>
      <x:c r="N80" s="3"/>
      <x:c r="O80" s="3"/>
      <x:c r="P80" s="4"/>
      <x:c r="Q80" s="4"/>
      <x:c r="R80" s="4"/>
      <x:c r="S80" s="4"/>
      <x:c r="T80" s="4"/>
      <x:c r="U80" s="4"/>
      <x:c r="V80" s="4"/>
      <x:c r="W80" s="4"/>
      <x:c r="X80" s="4"/>
    </x:row>
    <x:row r="81">
      <x:c r="A81" s="3"/>
      <x:c r="B81" s="3"/>
      <x:c r="C81" s="3"/>
      <x:c r="D81" s="3"/>
      <x:c r="E81" s="3"/>
      <x:c r="F81" s="3"/>
      <x:c r="G81" s="3"/>
      <x:c r="H81" s="3"/>
      <x:c r="I81" s="3"/>
      <x:c r="J81" s="3"/>
      <x:c r="K81" s="3"/>
      <x:c r="L81" s="3"/>
      <x:c r="M81" s="3"/>
      <x:c r="N81" s="3"/>
      <x:c r="O81" s="3"/>
      <x:c r="P81" s="4"/>
      <x:c r="Q81" s="4"/>
      <x:c r="R81" s="4"/>
      <x:c r="S81" s="4"/>
      <x:c r="T81" s="4"/>
      <x:c r="U81" s="4"/>
      <x:c r="V81" s="4"/>
      <x:c r="W81" s="4"/>
      <x:c r="X81" s="4"/>
    </x:row>
    <x:row r="82">
      <x:c r="A82" s="3"/>
      <x:c r="B82" s="3"/>
      <x:c r="C82" s="3"/>
      <x:c r="D82" s="3"/>
      <x:c r="E82" s="3"/>
      <x:c r="F82" s="3"/>
      <x:c r="G82" s="3"/>
      <x:c r="H82" s="3"/>
      <x:c r="I82" s="3"/>
      <x:c r="J82" s="3"/>
      <x:c r="K82" s="3"/>
      <x:c r="L82" s="3"/>
      <x:c r="M82" s="3"/>
      <x:c r="N82" s="3"/>
      <x:c r="O82" s="3"/>
      <x:c r="P82" s="4"/>
      <x:c r="Q82" s="4"/>
      <x:c r="R82" s="4"/>
      <x:c r="S82" s="4"/>
      <x:c r="T82" s="4"/>
      <x:c r="U82" s="4"/>
      <x:c r="V82" s="4"/>
      <x:c r="W82" s="4"/>
      <x:c r="X82" s="4"/>
    </x:row>
    <x:row r="83">
      <x:c r="A83" s="3"/>
      <x:c r="B83" s="3"/>
      <x:c r="C83" s="3"/>
      <x:c r="D83" s="3"/>
      <x:c r="E83" s="3"/>
      <x:c r="F83" s="3"/>
      <x:c r="G83" s="3"/>
      <x:c r="H83" s="3"/>
      <x:c r="I83" s="3"/>
      <x:c r="J83" s="3"/>
      <x:c r="K83" s="3"/>
      <x:c r="L83" s="3"/>
      <x:c r="M83" s="3"/>
      <x:c r="N83" s="3"/>
      <x:c r="O83" s="3"/>
      <x:c r="P83" s="4"/>
      <x:c r="Q83" s="4"/>
      <x:c r="R83" s="4"/>
      <x:c r="S83" s="4"/>
      <x:c r="T83" s="4"/>
      <x:c r="U83" s="4"/>
      <x:c r="V83" s="4"/>
      <x:c r="W83" s="4"/>
      <x:c r="X83" s="4"/>
    </x:row>
    <x:row r="84">
      <x:c r="A84" s="3"/>
      <x:c r="B84" s="3"/>
      <x:c r="C84" s="3"/>
      <x:c r="D84" s="3"/>
      <x:c r="E84" s="3"/>
      <x:c r="F84" s="3"/>
      <x:c r="G84" s="3"/>
      <x:c r="H84" s="3"/>
      <x:c r="I84" s="3"/>
      <x:c r="J84" s="3"/>
      <x:c r="K84" s="3"/>
      <x:c r="L84" s="3"/>
      <x:c r="M84" s="3"/>
      <x:c r="N84" s="3"/>
      <x:c r="O84" s="3"/>
      <x:c r="P84" s="4"/>
      <x:c r="Q84" s="4"/>
      <x:c r="R84" s="4"/>
      <x:c r="S84" s="4"/>
      <x:c r="T84" s="4"/>
      <x:c r="U84" s="4"/>
      <x:c r="V84" s="4"/>
      <x:c r="W84" s="4"/>
      <x:c r="X84" s="4"/>
    </x:row>
    <x:row r="85">
      <x:c r="A85" s="3"/>
      <x:c r="B85" s="3"/>
      <x:c r="C85" s="3"/>
      <x:c r="D85" s="3"/>
      <x:c r="E85" s="3"/>
      <x:c r="F85" s="3"/>
      <x:c r="G85" s="3"/>
      <x:c r="H85" s="3"/>
      <x:c r="I85" s="3"/>
      <x:c r="J85" s="3"/>
      <x:c r="K85" s="3"/>
      <x:c r="L85" s="3"/>
      <x:c r="M85" s="3"/>
      <x:c r="N85" s="3"/>
      <x:c r="O85" s="3"/>
      <x:c r="P85" s="4"/>
      <x:c r="Q85" s="4"/>
      <x:c r="R85" s="4"/>
      <x:c r="S85" s="4"/>
      <x:c r="T85" s="4"/>
      <x:c r="U85" s="4"/>
      <x:c r="V85" s="4"/>
      <x:c r="W85" s="4"/>
      <x:c r="X85" s="4"/>
    </x:row>
    <x:row r="86">
      <x:c r="A86" s="3"/>
      <x:c r="B86" s="3"/>
      <x:c r="C86" s="3"/>
      <x:c r="D86" s="3"/>
      <x:c r="E86" s="3"/>
      <x:c r="F86" s="3"/>
      <x:c r="G86" s="3"/>
      <x:c r="H86" s="3"/>
      <x:c r="I86" s="3"/>
      <x:c r="J86" s="3"/>
      <x:c r="K86" s="3"/>
      <x:c r="L86" s="3"/>
      <x:c r="M86" s="3"/>
      <x:c r="N86" s="3"/>
      <x:c r="O86" s="3"/>
      <x:c r="P86" s="4"/>
      <x:c r="Q86" s="4"/>
      <x:c r="R86" s="4"/>
      <x:c r="S86" s="4"/>
      <x:c r="T86" s="4"/>
      <x:c r="U86" s="4"/>
      <x:c r="V86" s="4"/>
      <x:c r="W86" s="4"/>
      <x:c r="X86" s="4"/>
    </x:row>
    <x:row r="87">
      <x:c r="A87" s="3"/>
      <x:c r="B87" s="3"/>
      <x:c r="C87" s="3"/>
      <x:c r="D87" s="3"/>
      <x:c r="E87" s="3"/>
      <x:c r="F87" s="3"/>
      <x:c r="G87" s="3"/>
      <x:c r="H87" s="3"/>
      <x:c r="I87" s="3"/>
      <x:c r="J87" s="3"/>
      <x:c r="K87" s="3"/>
      <x:c r="L87" s="3"/>
      <x:c r="M87" s="3"/>
      <x:c r="N87" s="3"/>
      <x:c r="O87" s="3"/>
      <x:c r="P87" s="4"/>
      <x:c r="Q87" s="4"/>
      <x:c r="R87" s="4"/>
      <x:c r="S87" s="4"/>
      <x:c r="T87" s="4"/>
      <x:c r="U87" s="4"/>
      <x:c r="V87" s="4"/>
      <x:c r="W87" s="4"/>
      <x:c r="X87" s="4"/>
    </x:row>
    <x:row r="88">
      <x:c r="A88" s="3"/>
      <x:c r="B88" s="3"/>
      <x:c r="C88" s="3"/>
      <x:c r="D88" s="3"/>
      <x:c r="E88" s="3"/>
      <x:c r="F88" s="3"/>
      <x:c r="G88" s="3"/>
      <x:c r="H88" s="3"/>
      <x:c r="I88" s="3"/>
      <x:c r="J88" s="3"/>
      <x:c r="K88" s="3"/>
      <x:c r="L88" s="3"/>
      <x:c r="M88" s="3"/>
      <x:c r="N88" s="3"/>
      <x:c r="O88" s="3"/>
      <x:c r="P88" s="4"/>
      <x:c r="Q88" s="4"/>
      <x:c r="R88" s="4"/>
      <x:c r="S88" s="4"/>
      <x:c r="T88" s="4"/>
      <x:c r="U88" s="4"/>
      <x:c r="V88" s="4"/>
      <x:c r="W88" s="4"/>
      <x:c r="X88" s="4"/>
    </x:row>
    <x:row r="89">
      <x:c r="A89" s="3"/>
      <x:c r="B89" s="3"/>
      <x:c r="C89" s="3"/>
      <x:c r="D89" s="3"/>
      <x:c r="E89" s="3"/>
      <x:c r="F89" s="3"/>
      <x:c r="G89" s="3"/>
      <x:c r="H89" s="3"/>
      <x:c r="I89" s="3"/>
      <x:c r="J89" s="3"/>
      <x:c r="K89" s="3"/>
      <x:c r="L89" s="3"/>
      <x:c r="M89" s="3"/>
      <x:c r="N89" s="3"/>
      <x:c r="O89" s="3"/>
      <x:c r="P89" s="4"/>
      <x:c r="Q89" s="4"/>
      <x:c r="R89" s="4"/>
      <x:c r="S89" s="4"/>
      <x:c r="T89" s="4"/>
      <x:c r="U89" s="4"/>
      <x:c r="V89" s="4"/>
      <x:c r="W89" s="4"/>
      <x:c r="X89" s="4"/>
    </x:row>
    <x:row r="90">
      <x:c r="A90" s="3"/>
      <x:c r="B90" s="3"/>
      <x:c r="C90" s="3"/>
      <x:c r="D90" s="3"/>
      <x:c r="E90" s="3"/>
      <x:c r="F90" s="3"/>
      <x:c r="G90" s="3"/>
      <x:c r="H90" s="3"/>
      <x:c r="I90" s="3"/>
      <x:c r="J90" s="3"/>
      <x:c r="K90" s="3"/>
      <x:c r="L90" s="3"/>
      <x:c r="M90" s="3"/>
      <x:c r="N90" s="3"/>
      <x:c r="O90" s="3"/>
      <x:c r="P90" s="4"/>
      <x:c r="Q90" s="4"/>
      <x:c r="R90" s="4"/>
      <x:c r="S90" s="4"/>
      <x:c r="T90" s="4"/>
      <x:c r="U90" s="4"/>
      <x:c r="V90" s="4"/>
      <x:c r="W90" s="4"/>
      <x:c r="X90" s="4"/>
    </x:row>
    <x:row r="91">
      <x:c r="A91" s="3"/>
      <x:c r="B91" s="3"/>
      <x:c r="C91" s="3"/>
      <x:c r="D91" s="3"/>
      <x:c r="E91" s="3"/>
      <x:c r="F91" s="3"/>
      <x:c r="G91" s="3"/>
      <x:c r="H91" s="3"/>
      <x:c r="I91" s="3"/>
      <x:c r="J91" s="3"/>
      <x:c r="K91" s="3"/>
      <x:c r="L91" s="3"/>
      <x:c r="M91" s="3"/>
      <x:c r="N91" s="3"/>
      <x:c r="O91" s="3"/>
      <x:c r="P91" s="4"/>
      <x:c r="Q91" s="4"/>
      <x:c r="R91" s="4"/>
      <x:c r="S91" s="4"/>
      <x:c r="T91" s="4"/>
      <x:c r="U91" s="4"/>
      <x:c r="V91" s="4"/>
      <x:c r="W91" s="4"/>
      <x:c r="X91" s="4"/>
    </x:row>
    <x:row r="92">
      <x:c r="A92" s="3"/>
      <x:c r="B92" s="3"/>
      <x:c r="C92" s="3"/>
      <x:c r="D92" s="3"/>
      <x:c r="E92" s="3"/>
      <x:c r="F92" s="3"/>
      <x:c r="G92" s="3"/>
      <x:c r="H92" s="3"/>
      <x:c r="I92" s="3"/>
      <x:c r="J92" s="3"/>
      <x:c r="K92" s="3"/>
      <x:c r="L92" s="3"/>
      <x:c r="M92" s="3"/>
      <x:c r="N92" s="3"/>
      <x:c r="O92" s="3"/>
      <x:c r="P92" s="4"/>
      <x:c r="Q92" s="4"/>
      <x:c r="R92" s="4"/>
      <x:c r="S92" s="4"/>
      <x:c r="T92" s="4"/>
      <x:c r="U92" s="4"/>
      <x:c r="V92" s="4"/>
      <x:c r="W92" s="4"/>
      <x:c r="X92" s="4"/>
    </x:row>
    <x:row r="93">
      <x:c r="A93" s="3"/>
      <x:c r="B93" s="3"/>
      <x:c r="C93" s="3"/>
      <x:c r="D93" s="3"/>
      <x:c r="E93" s="3"/>
      <x:c r="F93" s="3"/>
      <x:c r="G93" s="3"/>
      <x:c r="H93" s="3"/>
      <x:c r="I93" s="3"/>
      <x:c r="J93" s="3"/>
      <x:c r="K93" s="3"/>
      <x:c r="L93" s="3"/>
      <x:c r="M93" s="3"/>
      <x:c r="N93" s="3"/>
      <x:c r="O93" s="3"/>
      <x:c r="P93" s="4"/>
      <x:c r="Q93" s="4"/>
      <x:c r="R93" s="4"/>
      <x:c r="S93" s="4"/>
      <x:c r="T93" s="4"/>
      <x:c r="U93" s="4"/>
      <x:c r="V93" s="4"/>
      <x:c r="W93" s="4"/>
      <x:c r="X93" s="4"/>
    </x:row>
    <x:row r="94">
      <x:c r="A94" s="3"/>
      <x:c r="B94" s="3"/>
      <x:c r="C94" s="3"/>
      <x:c r="D94" s="3"/>
      <x:c r="E94" s="3"/>
      <x:c r="F94" s="3"/>
      <x:c r="G94" s="3"/>
      <x:c r="H94" s="3"/>
      <x:c r="I94" s="3"/>
      <x:c r="J94" s="3"/>
      <x:c r="K94" s="3"/>
      <x:c r="L94" s="3"/>
      <x:c r="M94" s="3"/>
      <x:c r="N94" s="3"/>
      <x:c r="O94" s="3"/>
      <x:c r="P94" s="4"/>
      <x:c r="Q94" s="4"/>
      <x:c r="R94" s="4"/>
      <x:c r="S94" s="4"/>
      <x:c r="T94" s="4"/>
      <x:c r="U94" s="4"/>
      <x:c r="V94" s="4"/>
      <x:c r="W94" s="4"/>
      <x:c r="X94" s="4"/>
    </x:row>
    <x:row r="95">
      <x:c r="A95" s="3"/>
      <x:c r="B95" s="3"/>
      <x:c r="C95" s="3"/>
      <x:c r="D95" s="3"/>
      <x:c r="E95" s="3"/>
      <x:c r="F95" s="3"/>
      <x:c r="G95" s="3"/>
      <x:c r="H95" s="3"/>
      <x:c r="I95" s="3"/>
      <x:c r="J95" s="3"/>
      <x:c r="K95" s="3"/>
      <x:c r="L95" s="3"/>
      <x:c r="M95" s="3"/>
      <x:c r="N95" s="3"/>
      <x:c r="O95" s="3"/>
      <x:c r="P95" s="4"/>
      <x:c r="Q95" s="4"/>
      <x:c r="R95" s="4"/>
      <x:c r="S95" s="4"/>
      <x:c r="T95" s="4"/>
      <x:c r="U95" s="4"/>
      <x:c r="V95" s="4"/>
      <x:c r="W95" s="4"/>
      <x:c r="X95" s="4"/>
    </x:row>
    <x:row r="96">
      <x:c r="A96" s="3"/>
      <x:c r="B96" s="3"/>
      <x:c r="C96" s="3"/>
      <x:c r="D96" s="3"/>
      <x:c r="E96" s="3"/>
      <x:c r="F96" s="3"/>
      <x:c r="G96" s="3"/>
      <x:c r="H96" s="3"/>
      <x:c r="I96" s="3"/>
      <x:c r="J96" s="3"/>
      <x:c r="K96" s="3"/>
      <x:c r="L96" s="3"/>
      <x:c r="M96" s="3"/>
      <x:c r="N96" s="3"/>
      <x:c r="O96" s="3"/>
      <x:c r="P96" s="4"/>
      <x:c r="Q96" s="4"/>
      <x:c r="R96" s="4"/>
      <x:c r="S96" s="4"/>
      <x:c r="T96" s="4"/>
      <x:c r="U96" s="4"/>
      <x:c r="V96" s="4"/>
      <x:c r="W96" s="4"/>
      <x:c r="X96" s="4"/>
    </x:row>
    <x:row r="97">
      <x:c r="A97" s="3"/>
      <x:c r="B97" s="3"/>
      <x:c r="C97" s="3"/>
      <x:c r="D97" s="3"/>
      <x:c r="E97" s="3"/>
      <x:c r="F97" s="3"/>
      <x:c r="G97" s="3"/>
      <x:c r="H97" s="3"/>
      <x:c r="I97" s="3"/>
      <x:c r="J97" s="3"/>
      <x:c r="K97" s="3"/>
      <x:c r="L97" s="3"/>
      <x:c r="M97" s="3"/>
      <x:c r="N97" s="3"/>
      <x:c r="O97" s="3"/>
      <x:c r="P97" s="4"/>
      <x:c r="Q97" s="4"/>
      <x:c r="R97" s="4"/>
      <x:c r="S97" s="4"/>
      <x:c r="T97" s="4"/>
      <x:c r="U97" s="4"/>
      <x:c r="V97" s="4"/>
      <x:c r="W97" s="4"/>
      <x:c r="X97" s="4"/>
    </x:row>
    <x:row r="98">
      <x:c r="A98" s="3"/>
      <x:c r="B98" s="3"/>
      <x:c r="C98" s="3"/>
      <x:c r="D98" s="3"/>
      <x:c r="E98" s="3"/>
      <x:c r="F98" s="3"/>
      <x:c r="G98" s="3"/>
      <x:c r="H98" s="3"/>
      <x:c r="I98" s="3"/>
      <x:c r="J98" s="3"/>
      <x:c r="K98" s="3"/>
      <x:c r="L98" s="3"/>
      <x:c r="M98" s="3"/>
      <x:c r="N98" s="3"/>
      <x:c r="O98" s="3"/>
      <x:c r="P98" s="4"/>
      <x:c r="Q98" s="4"/>
      <x:c r="R98" s="4"/>
      <x:c r="S98" s="4"/>
      <x:c r="T98" s="4"/>
      <x:c r="U98" s="4"/>
      <x:c r="V98" s="4"/>
      <x:c r="W98" s="4"/>
      <x:c r="X98" s="4"/>
    </x:row>
    <x:row r="99">
      <x:c r="A99" s="3"/>
      <x:c r="B99" s="3"/>
      <x:c r="C99" s="3"/>
      <x:c r="D99" s="3"/>
      <x:c r="E99" s="3"/>
      <x:c r="F99" s="3"/>
      <x:c r="G99" s="3"/>
      <x:c r="H99" s="3"/>
      <x:c r="I99" s="3"/>
      <x:c r="J99" s="3"/>
      <x:c r="K99" s="3"/>
      <x:c r="L99" s="3"/>
      <x:c r="M99" s="3"/>
      <x:c r="N99" s="3"/>
      <x:c r="O99" s="3"/>
      <x:c r="P99" s="4"/>
      <x:c r="Q99" s="4"/>
      <x:c r="R99" s="4"/>
      <x:c r="S99" s="4"/>
      <x:c r="T99" s="4"/>
      <x:c r="U99" s="4"/>
      <x:c r="V99" s="4"/>
      <x:c r="W99" s="4"/>
      <x:c r="X99" s="4"/>
    </x:row>
    <x:row r="100">
      <x:c r="A100" s="3"/>
      <x:c r="B100" s="3"/>
      <x:c r="C100" s="3"/>
      <x:c r="D100" s="3"/>
      <x:c r="E100" s="3"/>
      <x:c r="F100" s="3"/>
      <x:c r="G100" s="3"/>
      <x:c r="H100" s="3"/>
      <x:c r="I100" s="3"/>
      <x:c r="J100" s="3"/>
      <x:c r="K100" s="3"/>
      <x:c r="L100" s="3"/>
      <x:c r="M100" s="3"/>
      <x:c r="N100" s="3"/>
      <x:c r="O100" s="3"/>
      <x:c r="P100" s="4"/>
      <x:c r="Q100" s="4"/>
      <x:c r="R100" s="4"/>
      <x:c r="S100" s="4"/>
      <x:c r="T100" s="4"/>
      <x:c r="U100" s="4"/>
      <x:c r="V100" s="4"/>
      <x:c r="W100" s="4"/>
      <x:c r="X100" s="4"/>
    </x:row>
    <x:row r="101">
      <x:c r="A101" s="3"/>
      <x:c r="B101" s="3"/>
      <x:c r="C101" s="3"/>
      <x:c r="D101" s="3"/>
      <x:c r="E101" s="3"/>
      <x:c r="F101" s="3"/>
      <x:c r="G101" s="3"/>
      <x:c r="H101" s="3"/>
      <x:c r="I101" s="3"/>
      <x:c r="J101" s="3"/>
      <x:c r="K101" s="3"/>
      <x:c r="L101" s="3"/>
      <x:c r="M101" s="3"/>
      <x:c r="N101" s="3"/>
      <x:c r="O101" s="3"/>
      <x:c r="P101" s="4"/>
      <x:c r="Q101" s="4"/>
      <x:c r="R101" s="4"/>
      <x:c r="S101" s="4"/>
      <x:c r="T101" s="4"/>
      <x:c r="U101" s="4"/>
      <x:c r="V101" s="4"/>
      <x:c r="W101" s="4"/>
      <x:c r="X101" s="4"/>
    </x:row>
    <x:row r="102">
      <x:c r="A102" s="3"/>
      <x:c r="B102" s="3"/>
      <x:c r="C102" s="3"/>
      <x:c r="D102" s="3"/>
      <x:c r="E102" s="3"/>
      <x:c r="F102" s="3"/>
      <x:c r="G102" s="3"/>
      <x:c r="H102" s="3"/>
      <x:c r="I102" s="3"/>
      <x:c r="J102" s="3"/>
      <x:c r="K102" s="3"/>
      <x:c r="L102" s="3"/>
      <x:c r="M102" s="3"/>
      <x:c r="N102" s="3"/>
      <x:c r="O102" s="3"/>
      <x:c r="P102" s="4"/>
      <x:c r="Q102" s="4"/>
      <x:c r="R102" s="4"/>
      <x:c r="S102" s="4"/>
      <x:c r="T102" s="4"/>
      <x:c r="U102" s="4"/>
      <x:c r="V102" s="4"/>
      <x:c r="W102" s="4"/>
      <x:c r="X102" s="4"/>
    </x:row>
    <x:row r="103">
      <x:c r="A103" s="3"/>
      <x:c r="B103" s="3"/>
      <x:c r="C103" s="3"/>
      <x:c r="D103" s="3"/>
      <x:c r="E103" s="3"/>
      <x:c r="F103" s="3"/>
      <x:c r="G103" s="3"/>
      <x:c r="H103" s="3"/>
      <x:c r="I103" s="3"/>
      <x:c r="J103" s="3"/>
      <x:c r="K103" s="3"/>
      <x:c r="L103" s="3"/>
      <x:c r="M103" s="3"/>
      <x:c r="N103" s="3"/>
      <x:c r="O103" s="3"/>
      <x:c r="P103" s="4"/>
      <x:c r="Q103" s="4"/>
      <x:c r="R103" s="4"/>
      <x:c r="S103" s="4"/>
      <x:c r="T103" s="4"/>
      <x:c r="U103" s="4"/>
      <x:c r="V103" s="4"/>
      <x:c r="W103" s="4"/>
      <x:c r="X103" s="4"/>
    </x:row>
    <x:row r="104">
      <x:c r="A104" s="3"/>
      <x:c r="B104" s="3"/>
      <x:c r="C104" s="3"/>
      <x:c r="D104" s="3"/>
      <x:c r="E104" s="3"/>
      <x:c r="F104" s="3"/>
      <x:c r="G104" s="3"/>
      <x:c r="H104" s="3"/>
      <x:c r="I104" s="3"/>
      <x:c r="J104" s="3"/>
      <x:c r="K104" s="3"/>
      <x:c r="L104" s="3"/>
      <x:c r="M104" s="3"/>
      <x:c r="N104" s="3"/>
      <x:c r="O104" s="3"/>
      <x:c r="P104" s="4"/>
      <x:c r="Q104" s="4"/>
      <x:c r="R104" s="4"/>
      <x:c r="S104" s="4"/>
      <x:c r="T104" s="4"/>
      <x:c r="U104" s="4"/>
      <x:c r="V104" s="4"/>
      <x:c r="W104" s="4"/>
      <x:c r="X104" s="4"/>
    </x:row>
    <x:row r="105">
      <x:c r="A105" s="3"/>
      <x:c r="B105" s="3"/>
      <x:c r="C105" s="3"/>
      <x:c r="D105" s="3"/>
      <x:c r="E105" s="3"/>
      <x:c r="F105" s="3"/>
      <x:c r="G105" s="3"/>
      <x:c r="H105" s="3"/>
      <x:c r="I105" s="3"/>
      <x:c r="J105" s="3"/>
      <x:c r="K105" s="3"/>
      <x:c r="L105" s="3"/>
      <x:c r="M105" s="3"/>
      <x:c r="N105" s="3"/>
      <x:c r="O105" s="3"/>
      <x:c r="P105" s="4"/>
      <x:c r="Q105" s="4"/>
      <x:c r="R105" s="4"/>
      <x:c r="S105" s="4"/>
      <x:c r="T105" s="4"/>
      <x:c r="U105" s="4"/>
      <x:c r="V105" s="4"/>
      <x:c r="W105" s="4"/>
      <x:c r="X105" s="4"/>
    </x:row>
    <x:row r="106">
      <x:c r="A106" s="3"/>
      <x:c r="B106" s="3"/>
      <x:c r="C106" s="3"/>
      <x:c r="D106" s="3"/>
      <x:c r="E106" s="3"/>
      <x:c r="F106" s="3"/>
      <x:c r="G106" s="3"/>
      <x:c r="H106" s="3"/>
      <x:c r="I106" s="3"/>
      <x:c r="J106" s="3"/>
      <x:c r="K106" s="3"/>
      <x:c r="L106" s="3"/>
      <x:c r="M106" s="3"/>
      <x:c r="N106" s="3"/>
      <x:c r="O106" s="3"/>
      <x:c r="P106" s="4"/>
      <x:c r="Q106" s="4"/>
      <x:c r="R106" s="4"/>
      <x:c r="S106" s="4"/>
      <x:c r="T106" s="4"/>
      <x:c r="U106" s="4"/>
      <x:c r="V106" s="4"/>
      <x:c r="W106" s="4"/>
      <x:c r="X106" s="4"/>
    </x:row>
    <x:row r="107">
      <x:c r="A107" s="3"/>
      <x:c r="B107" s="3"/>
      <x:c r="C107" s="3"/>
      <x:c r="D107" s="3"/>
      <x:c r="E107" s="3"/>
      <x:c r="F107" s="3"/>
      <x:c r="G107" s="3"/>
      <x:c r="H107" s="3"/>
      <x:c r="I107" s="3"/>
      <x:c r="J107" s="3"/>
      <x:c r="K107" s="3"/>
      <x:c r="L107" s="3"/>
      <x:c r="M107" s="3"/>
      <x:c r="N107" s="3"/>
      <x:c r="O107" s="3"/>
      <x:c r="P107" s="4"/>
      <x:c r="Q107" s="4"/>
      <x:c r="R107" s="4"/>
      <x:c r="S107" s="4"/>
      <x:c r="T107" s="4"/>
      <x:c r="U107" s="4"/>
      <x:c r="V107" s="4"/>
      <x:c r="W107" s="4"/>
      <x:c r="X107" s="4"/>
    </x:row>
    <x:row r="108">
      <x:c r="A108" s="3"/>
      <x:c r="B108" s="3"/>
      <x:c r="C108" s="3"/>
      <x:c r="D108" s="3"/>
      <x:c r="E108" s="3"/>
      <x:c r="F108" s="3"/>
      <x:c r="G108" s="3"/>
      <x:c r="H108" s="3"/>
      <x:c r="I108" s="3"/>
      <x:c r="J108" s="3"/>
      <x:c r="K108" s="3"/>
      <x:c r="L108" s="3"/>
      <x:c r="M108" s="3"/>
      <x:c r="N108" s="3"/>
      <x:c r="O108" s="3"/>
      <x:c r="P108" s="4"/>
      <x:c r="Q108" s="4"/>
      <x:c r="R108" s="4"/>
      <x:c r="S108" s="4"/>
      <x:c r="T108" s="4"/>
      <x:c r="U108" s="4"/>
      <x:c r="V108" s="4"/>
      <x:c r="W108" s="4"/>
      <x:c r="X108" s="4"/>
    </x:row>
    <x:row r="109">
      <x:c r="A109" s="3"/>
      <x:c r="B109" s="3"/>
      <x:c r="C109" s="3"/>
      <x:c r="D109" s="3"/>
      <x:c r="E109" s="3"/>
      <x:c r="F109" s="3"/>
      <x:c r="G109" s="3"/>
      <x:c r="H109" s="3"/>
      <x:c r="I109" s="3"/>
      <x:c r="J109" s="3"/>
      <x:c r="K109" s="3"/>
      <x:c r="L109" s="3"/>
      <x:c r="M109" s="3"/>
      <x:c r="N109" s="3"/>
      <x:c r="O109" s="3"/>
      <x:c r="P109" s="4"/>
      <x:c r="Q109" s="4"/>
      <x:c r="R109" s="4"/>
      <x:c r="S109" s="4"/>
      <x:c r="T109" s="4"/>
      <x:c r="U109" s="4"/>
      <x:c r="V109" s="4"/>
      <x:c r="W109" s="4"/>
      <x:c r="X109" s="4"/>
    </x:row>
    <x:row r="110">
      <x:c r="A110" s="3"/>
      <x:c r="B110" s="3"/>
      <x:c r="C110" s="3"/>
      <x:c r="D110" s="3"/>
      <x:c r="E110" s="3"/>
      <x:c r="F110" s="3"/>
      <x:c r="G110" s="3"/>
      <x:c r="H110" s="3"/>
      <x:c r="I110" s="3"/>
      <x:c r="J110" s="3"/>
      <x:c r="K110" s="3"/>
      <x:c r="L110" s="3"/>
      <x:c r="M110" s="3"/>
      <x:c r="N110" s="3"/>
      <x:c r="O110" s="3"/>
      <x:c r="P110" s="4"/>
      <x:c r="Q110" s="4"/>
      <x:c r="R110" s="4"/>
      <x:c r="S110" s="4"/>
      <x:c r="T110" s="4"/>
      <x:c r="U110" s="4"/>
      <x:c r="V110" s="4"/>
      <x:c r="W110" s="4"/>
      <x:c r="X110" s="4"/>
    </x:row>
    <x:row r="111">
      <x:c r="A111" s="3"/>
      <x:c r="B111" s="3"/>
      <x:c r="C111" s="3"/>
      <x:c r="D111" s="3"/>
      <x:c r="E111" s="3"/>
      <x:c r="F111" s="3"/>
      <x:c r="G111" s="3"/>
      <x:c r="H111" s="3"/>
      <x:c r="I111" s="3"/>
      <x:c r="J111" s="3"/>
      <x:c r="K111" s="3"/>
      <x:c r="L111" s="3"/>
      <x:c r="M111" s="3"/>
      <x:c r="N111" s="3"/>
      <x:c r="O111" s="3"/>
      <x:c r="P111" s="4"/>
      <x:c r="Q111" s="4"/>
      <x:c r="R111" s="4"/>
      <x:c r="S111" s="4"/>
      <x:c r="T111" s="4"/>
      <x:c r="U111" s="4"/>
      <x:c r="V111" s="4"/>
      <x:c r="W111" s="4"/>
      <x:c r="X111" s="4"/>
    </x:row>
    <x:row r="112">
      <x:c r="A112" s="3"/>
      <x:c r="B112" s="3"/>
      <x:c r="C112" s="3"/>
      <x:c r="D112" s="3"/>
      <x:c r="E112" s="3"/>
      <x:c r="F112" s="3"/>
      <x:c r="G112" s="3"/>
      <x:c r="H112" s="3"/>
      <x:c r="I112" s="3"/>
      <x:c r="J112" s="3"/>
      <x:c r="K112" s="3"/>
      <x:c r="L112" s="3"/>
      <x:c r="M112" s="3"/>
      <x:c r="N112" s="3"/>
      <x:c r="O112" s="3"/>
      <x:c r="P112" s="4"/>
      <x:c r="Q112" s="4"/>
      <x:c r="R112" s="4"/>
      <x:c r="S112" s="4"/>
      <x:c r="T112" s="4"/>
      <x:c r="U112" s="4"/>
      <x:c r="V112" s="4"/>
      <x:c r="W112" s="4"/>
      <x:c r="X112" s="4"/>
    </x:row>
    <x:row r="113">
      <x:c r="A113" s="3"/>
      <x:c r="B113" s="3"/>
      <x:c r="C113" s="3"/>
      <x:c r="D113" s="3"/>
      <x:c r="E113" s="3"/>
      <x:c r="F113" s="3"/>
      <x:c r="G113" s="3"/>
      <x:c r="H113" s="3"/>
      <x:c r="I113" s="3"/>
      <x:c r="J113" s="3"/>
      <x:c r="K113" s="3"/>
      <x:c r="L113" s="3"/>
      <x:c r="M113" s="3"/>
      <x:c r="N113" s="3"/>
      <x:c r="O113" s="3"/>
      <x:c r="P113" s="4"/>
      <x:c r="Q113" s="4"/>
      <x:c r="R113" s="4"/>
      <x:c r="S113" s="4"/>
      <x:c r="T113" s="4"/>
      <x:c r="U113" s="4"/>
      <x:c r="V113" s="4"/>
      <x:c r="W113" s="4"/>
      <x:c r="X113" s="4"/>
    </x:row>
    <x:row r="114">
      <x:c r="A114" s="3"/>
      <x:c r="B114" s="3"/>
      <x:c r="C114" s="3"/>
      <x:c r="D114" s="3"/>
      <x:c r="E114" s="3"/>
      <x:c r="F114" s="3"/>
      <x:c r="G114" s="3"/>
      <x:c r="H114" s="3"/>
      <x:c r="I114" s="3"/>
      <x:c r="J114" s="3"/>
      <x:c r="K114" s="3"/>
      <x:c r="L114" s="3"/>
      <x:c r="M114" s="3"/>
      <x:c r="N114" s="3"/>
      <x:c r="O114" s="3"/>
      <x:c r="P114" s="4"/>
      <x:c r="Q114" s="4"/>
      <x:c r="R114" s="4"/>
      <x:c r="S114" s="4"/>
      <x:c r="T114" s="4"/>
      <x:c r="U114" s="4"/>
      <x:c r="V114" s="4"/>
      <x:c r="W114" s="4"/>
      <x:c r="X114" s="4"/>
    </x:row>
    <x:row r="115">
      <x:c r="A115" s="3"/>
      <x:c r="B115" s="3"/>
      <x:c r="C115" s="3"/>
      <x:c r="D115" s="3"/>
      <x:c r="E115" s="3"/>
      <x:c r="F115" s="3"/>
      <x:c r="G115" s="3"/>
      <x:c r="H115" s="3"/>
      <x:c r="I115" s="3"/>
      <x:c r="J115" s="3"/>
      <x:c r="K115" s="3"/>
      <x:c r="L115" s="3"/>
      <x:c r="M115" s="3"/>
      <x:c r="N115" s="3"/>
      <x:c r="O115" s="3"/>
      <x:c r="P115" s="4"/>
      <x:c r="Q115" s="4"/>
      <x:c r="R115" s="4"/>
      <x:c r="S115" s="4"/>
      <x:c r="T115" s="4"/>
      <x:c r="U115" s="4"/>
      <x:c r="V115" s="4"/>
      <x:c r="W115" s="4"/>
      <x:c r="X115" s="4"/>
    </x:row>
    <x:row r="116">
      <x:c r="A116" s="3"/>
      <x:c r="B116" s="3"/>
      <x:c r="C116" s="3"/>
      <x:c r="D116" s="3"/>
      <x:c r="E116" s="3"/>
      <x:c r="F116" s="3"/>
      <x:c r="G116" s="3"/>
      <x:c r="H116" s="3"/>
      <x:c r="I116" s="3"/>
      <x:c r="J116" s="3"/>
      <x:c r="K116" s="3"/>
      <x:c r="L116" s="3"/>
      <x:c r="M116" s="3"/>
      <x:c r="N116" s="3"/>
      <x:c r="O116" s="3"/>
      <x:c r="P116" s="4"/>
      <x:c r="Q116" s="4"/>
      <x:c r="R116" s="4"/>
      <x:c r="S116" s="4"/>
      <x:c r="T116" s="4"/>
      <x:c r="U116" s="4"/>
      <x:c r="V116" s="4"/>
      <x:c r="W116" s="4"/>
      <x:c r="X116" s="4"/>
    </x:row>
    <x:row r="117">
      <x:c r="A117" s="3"/>
      <x:c r="B117" s="3"/>
      <x:c r="C117" s="3"/>
      <x:c r="D117" s="3"/>
      <x:c r="E117" s="3"/>
      <x:c r="F117" s="3"/>
      <x:c r="G117" s="3"/>
      <x:c r="H117" s="3"/>
      <x:c r="I117" s="3"/>
      <x:c r="J117" s="3"/>
      <x:c r="K117" s="3"/>
      <x:c r="L117" s="3"/>
      <x:c r="M117" s="3"/>
      <x:c r="N117" s="3"/>
      <x:c r="O117" s="3"/>
      <x:c r="P117" s="4"/>
      <x:c r="Q117" s="4"/>
      <x:c r="R117" s="4"/>
      <x:c r="S117" s="4"/>
      <x:c r="T117" s="4"/>
      <x:c r="U117" s="4"/>
      <x:c r="V117" s="4"/>
      <x:c r="W117" s="4"/>
      <x:c r="X117" s="4"/>
    </x:row>
    <x:row r="118">
      <x:c r="A118" s="3"/>
      <x:c r="B118" s="3"/>
      <x:c r="C118" s="3"/>
      <x:c r="D118" s="3"/>
      <x:c r="E118" s="3"/>
      <x:c r="F118" s="3"/>
      <x:c r="G118" s="3"/>
      <x:c r="H118" s="3"/>
      <x:c r="I118" s="3"/>
      <x:c r="J118" s="3"/>
      <x:c r="K118" s="3"/>
      <x:c r="L118" s="3"/>
      <x:c r="M118" s="3"/>
      <x:c r="N118" s="3"/>
      <x:c r="O118" s="3"/>
      <x:c r="P118" s="4"/>
      <x:c r="Q118" s="4"/>
      <x:c r="R118" s="4"/>
      <x:c r="S118" s="4"/>
      <x:c r="T118" s="4"/>
      <x:c r="U118" s="4"/>
      <x:c r="V118" s="4"/>
      <x:c r="W118" s="4"/>
      <x:c r="X118" s="4"/>
    </x:row>
    <x:row r="119">
      <x:c r="A119" s="3"/>
      <x:c r="B119" s="3"/>
      <x:c r="C119" s="3"/>
      <x:c r="D119" s="3"/>
      <x:c r="E119" s="3"/>
      <x:c r="F119" s="3"/>
      <x:c r="G119" s="3"/>
      <x:c r="H119" s="3"/>
      <x:c r="I119" s="3"/>
      <x:c r="J119" s="3"/>
      <x:c r="K119" s="3"/>
      <x:c r="L119" s="3"/>
      <x:c r="M119" s="3"/>
      <x:c r="N119" s="3"/>
      <x:c r="O119" s="3"/>
      <x:c r="P119" s="4"/>
      <x:c r="Q119" s="4"/>
      <x:c r="R119" s="4"/>
      <x:c r="S119" s="4"/>
      <x:c r="T119" s="4"/>
      <x:c r="U119" s="4"/>
      <x:c r="V119" s="4"/>
      <x:c r="W119" s="4"/>
      <x:c r="X119" s="4"/>
    </x:row>
    <x:row r="120">
      <x:c r="A120" s="3"/>
      <x:c r="B120" s="3"/>
      <x:c r="C120" s="3"/>
      <x:c r="D120" s="3"/>
      <x:c r="E120" s="3"/>
      <x:c r="F120" s="3"/>
      <x:c r="G120" s="3"/>
      <x:c r="H120" s="3"/>
      <x:c r="I120" s="3"/>
      <x:c r="J120" s="3"/>
      <x:c r="K120" s="3"/>
      <x:c r="L120" s="3"/>
      <x:c r="M120" s="3"/>
      <x:c r="N120" s="3"/>
      <x:c r="O120" s="3"/>
      <x:c r="P120" s="4"/>
      <x:c r="Q120" s="4"/>
      <x:c r="R120" s="4"/>
      <x:c r="S120" s="4"/>
      <x:c r="T120" s="4"/>
      <x:c r="U120" s="4"/>
      <x:c r="V120" s="4"/>
      <x:c r="W120" s="4"/>
      <x:c r="X120" s="4"/>
    </x:row>
    <x:row r="121">
      <x:c r="A121" s="3"/>
      <x:c r="B121" s="3"/>
      <x:c r="C121" s="3"/>
      <x:c r="D121" s="3"/>
      <x:c r="E121" s="3"/>
      <x:c r="F121" s="3"/>
      <x:c r="G121" s="3"/>
      <x:c r="H121" s="3"/>
      <x:c r="I121" s="3"/>
      <x:c r="J121" s="3"/>
      <x:c r="K121" s="3"/>
      <x:c r="L121" s="3"/>
      <x:c r="M121" s="3"/>
      <x:c r="N121" s="3"/>
      <x:c r="O121" s="3"/>
      <x:c r="P121" s="4"/>
      <x:c r="Q121" s="4"/>
      <x:c r="R121" s="4"/>
      <x:c r="S121" s="4"/>
      <x:c r="T121" s="4"/>
      <x:c r="U121" s="4"/>
      <x:c r="V121" s="4"/>
      <x:c r="W121" s="4"/>
      <x:c r="X121" s="4"/>
    </x:row>
    <x:row r="122">
      <x:c r="A122" s="3"/>
      <x:c r="B122" s="3"/>
      <x:c r="C122" s="3"/>
      <x:c r="D122" s="3"/>
      <x:c r="E122" s="3"/>
      <x:c r="F122" s="3"/>
      <x:c r="G122" s="3"/>
      <x:c r="H122" s="3"/>
      <x:c r="I122" s="3"/>
      <x:c r="J122" s="3"/>
      <x:c r="K122" s="3"/>
      <x:c r="L122" s="3"/>
      <x:c r="M122" s="3"/>
      <x:c r="N122" s="3"/>
      <x:c r="O122" s="3"/>
      <x:c r="P122" s="4"/>
      <x:c r="Q122" s="4"/>
      <x:c r="R122" s="4"/>
      <x:c r="S122" s="4"/>
      <x:c r="T122" s="4"/>
      <x:c r="U122" s="4"/>
      <x:c r="V122" s="4"/>
      <x:c r="W122" s="4"/>
      <x:c r="X122" s="4"/>
    </x:row>
    <x:row r="123">
      <x:c r="A123" s="3"/>
      <x:c r="B123" s="3"/>
      <x:c r="C123" s="3"/>
      <x:c r="D123" s="3"/>
      <x:c r="E123" s="3"/>
      <x:c r="F123" s="3"/>
      <x:c r="G123" s="3"/>
      <x:c r="H123" s="3"/>
      <x:c r="I123" s="3"/>
      <x:c r="J123" s="3"/>
      <x:c r="K123" s="3"/>
      <x:c r="L123" s="3"/>
      <x:c r="M123" s="3"/>
      <x:c r="N123" s="3"/>
      <x:c r="O123" s="3"/>
      <x:c r="P123" s="4"/>
      <x:c r="Q123" s="4"/>
      <x:c r="R123" s="4"/>
      <x:c r="S123" s="4"/>
      <x:c r="T123" s="4"/>
      <x:c r="U123" s="4"/>
      <x:c r="V123" s="4"/>
      <x:c r="W123" s="4"/>
      <x:c r="X123" s="4"/>
    </x:row>
    <x:row r="124">
      <x:c r="A124" s="3"/>
      <x:c r="B124" s="3"/>
      <x:c r="C124" s="3"/>
      <x:c r="D124" s="3"/>
      <x:c r="E124" s="3"/>
      <x:c r="F124" s="3"/>
      <x:c r="G124" s="3"/>
      <x:c r="H124" s="3"/>
      <x:c r="I124" s="3"/>
      <x:c r="J124" s="3"/>
      <x:c r="K124" s="3"/>
      <x:c r="L124" s="3"/>
      <x:c r="M124" s="3"/>
      <x:c r="N124" s="3"/>
      <x:c r="O124" s="3"/>
      <x:c r="P124" s="4"/>
      <x:c r="Q124" s="4"/>
      <x:c r="R124" s="4"/>
      <x:c r="S124" s="4"/>
      <x:c r="T124" s="4"/>
      <x:c r="U124" s="4"/>
      <x:c r="V124" s="4"/>
      <x:c r="W124" s="4"/>
      <x:c r="X124" s="4"/>
    </x:row>
  </x:sheetData>
  <x:mergeCells>
    <x:mergeCell ref="A1:X1"/>
    <x:mergeCell ref="A2:X2"/>
  </x:mergeCells>
  <x:dataValidations count="6">
    <x:dataValidation type="list" sqref="C5:C124">
      <x:formula1>"Day1 Push,Day2 Pull,Day3 Lower,Rest"</x:formula1>
    </x:dataValidation>
    <x:dataValidation type="list" sqref="H5:H124">
      <x:formula1>"主项,复合辅助,孤立,功能开发,热身"</x:formula1>
    </x:dataValidation>
    <x:dataValidation type="list" sqref="J5:J124">
      <x:formula1>"热身组,正式组,力竭组,Rest-Pause追加,退阶组"</x:formula1>
    </x:dataValidation>
    <x:dataValidation type="list" sqref="N5:N124">
      <x:formula1>"不力竭,接近力竭,力竭"</x:formula1>
    </x:dataValidation>
    <x:dataValidation type="list" sqref="S5:S124">
      <x:formula1>"否,是"</x:formula1>
    </x:dataValidation>
    <x:dataValidation type="list" sqref="U5:U124">
      <x:formula1>"好,一般,明显变形"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4"/>
  <x:cols>
    <x:col min="1" max="1" width="14" hidden="0" customWidth="1"/>
    <x:col min="2" max="2" width="24" hidden="0" customWidth="1"/>
    <x:col min="3" max="3" width="18" hidden="0" customWidth="1"/>
    <x:col min="4" max="4" width="16" hidden="0" customWidth="1"/>
    <x:col min="5" max="7" width="12" customWidth="1"/>
    <x:col min="8" max="8" width="18" hidden="0" customWidth="1"/>
    <x:col min="9" max="9" width="24" hidden="0" customWidth="1"/>
    <x:col min="10" max="10" width="18" hidden="0" customWidth="1"/>
    <x:col min="11" max="14" width="14" customWidth="1"/>
    <x:col min="15" max="15" width="20" customWidth="1"/>
    <x:col min="16" max="16" width="38" customWidth="1"/>
    <x:col min="17" max="17" width="18" customWidth="1"/>
    <x:col min="18" max="18" width="30" customWidth="1"/>
    <x:col min="5" max="5" width="16" hidden="0" customWidth="1"/>
    <x:col min="6" max="6" width="24" hidden="0" customWidth="1"/>
    <x:col min="7" max="7" width="22" hidden="0" customWidth="1"/>
    <x:col min="11" max="11" width="34" hidden="0" customWidth="1"/>
  </x:cols>
  <x:sheetData>
    <x:row r="1" ht="20" customHeight="1">
      <x:c r="A1" s="125" t="str">
        <x:v>Recovery / Fatigue Tracking｜恢复验证模板</x:v>
      </x:c>
      <x:c r="B1" s="125"/>
      <x:c r="C1" s="125"/>
      <x:c r="D1" s="125"/>
      <x:c r="E1" s="125"/>
      <x:c r="F1" s="125"/>
      <x:c r="G1" s="125"/>
      <x:c r="H1" s="125"/>
      <x:c r="I1" s="125"/>
      <x:c r="J1" s="125"/>
      <x:c r="K1" s="125"/>
      <x:c r="L1" s="12"/>
      <x:c r="M1" s="12"/>
      <x:c r="N1" s="12"/>
      <x:c r="O1" s="12"/>
      <x:c r="P1" s="12"/>
      <x:c r="Q1" s="12"/>
      <x:c r="R1" s="12"/>
    </x:row>
    <x:row r="2" ht="22.649999618530273" customHeight="1">
      <x:c r="A2" s="126" t="str">
        <x:v>V1 用户侧核心输入仅为：睡眠质量、整体疲劳、明显疼痛/关节不适；HRV仅作为未来可选设备输入，不是V1必填。</x:v>
      </x:c>
      <x:c r="B2" s="126"/>
      <x:c r="C2" s="126"/>
      <x:c r="D2" s="126"/>
      <x:c r="E2" s="126"/>
      <x:c r="F2" s="126"/>
      <x:c r="G2" s="126"/>
      <x:c r="H2" s="126"/>
      <x:c r="I2" s="126"/>
      <x:c r="J2" s="126"/>
      <x:c r="K2" s="126"/>
      <x:c r="L2" s="37"/>
      <x:c r="M2" s="37"/>
      <x:c r="N2" s="37"/>
      <x:c r="O2" s="37"/>
      <x:c r="P2" s="37"/>
      <x:c r="Q2" s="37"/>
      <x:c r="R2" s="37"/>
    </x:row>
    <x:row r="4">
      <x:c r="A4" s="117" t="str">
        <x:v>日期</x:v>
      </x:c>
      <x:c r="B4" s="117" t="str">
        <x:v>HRV/设备恢复（未来可选）</x:v>
      </x:c>
      <x:c r="C4" s="117" t="str">
        <x:v>睡眠小时（可选）</x:v>
      </x:c>
      <x:c r="D4" s="117" t="str">
        <x:v>睡眠质量</x:v>
      </x:c>
      <x:c r="E4" s="117" t="str">
        <x:v>整体疲劳</x:v>
      </x:c>
      <x:c r="F4" s="117" t="str">
        <x:v>明显疼痛/关节不适</x:v>
      </x:c>
      <x:c r="G4" s="117" t="str">
        <x:v>生活压力（研究/可选）</x:v>
      </x:c>
      <x:c r="H4" s="117" t="str">
        <x:v>恢复判断</x:v>
      </x:c>
      <x:c r="I4" s="117" t="str">
        <x:v>今日建议</x:v>
      </x:c>
      <x:c r="J4" s="117" t="str">
        <x:v>实际选择</x:v>
      </x:c>
      <x:c r="K4" s="117" t="str">
        <x:v>备注</x:v>
      </x:c>
      <x:c r="L4" s="1"/>
      <x:c r="M4" s="1"/>
      <x:c r="N4" s="1"/>
      <x:c r="O4" s="1"/>
      <x:c r="P4" s="1"/>
      <x:c r="Q4" s="1"/>
      <x:c r="R4" s="1"/>
    </x:row>
    <x:row r="5">
      <x:c r="A5" s="43"/>
      <x:c r="B5" s="93"/>
      <x:c r="C5" s="93"/>
      <x:c r="D5" s="92" t="str">
        <x:f t="shared" ref="D5:D36" si="0">IF(COUNT(C5:C11)=0,"",AVERAGE(C5:C11))</x:f>
      </x:c>
      <x:c r="E5" s="92" t="str">
        <x:f t="shared" ref="E5:E36" si="1">IF(OR(C5="",D5=""),"",C5-D5)</x:f>
      </x:c>
      <x:c r="F5" s="93"/>
      <x:c r="G5" s="93"/>
      <x:c r="H5" s="94" t="str">
        <x:f t="shared" ref="H5:H36" si="2">IF(OR(F5="",G5=""),"",(F5-G5)/G5)</x:f>
      </x:c>
      <x:c r="I5" s="93"/>
      <x:c r="J5" s="93"/>
      <x:c r="K5" s="93"/>
      <x:c r="L5" s="4"/>
      <x:c r="M5" s="4"/>
      <x:c r="N5" s="4"/>
      <x:c r="O5" s="6" t="str">
        <x:f t="shared" ref="O5:O36" si="3">IF(B5&lt;&gt;"是","测量条件不标准",IF(E5&gt;=12,"明显疲劳风险",IF(E5&gt;=6,"可能疲劳",IF(OR(L5&gt;=4,M5&gt;=5),"可能疲劳","正常/待结合其他指标"))))</x:f>
        <x:v>测量条件不标准</x:v>
      </x:c>
      <x:c r="P5" s="6" t="str">
        <x:f t="shared" ref="P5:P36" si="4">IF(O5="明显疲劳风险","优先休息/恢复后继续下一Session",IF(O5="可能疲劳","结合握力/睡眠/主观状态决定休息或降强度","按计划训练"))</x:f>
        <x:v>按计划训练</x:v>
      </x:c>
      <x:c r="Q5" s="2"/>
      <x:c r="R5" s="2"/>
    </x:row>
    <x:row r="6">
      <x:c r="A6" s="43"/>
      <x:c r="B6" s="93"/>
      <x:c r="C6" s="93"/>
      <x:c r="D6" s="92">
        <x:f t="shared" si="0"/>
      </x:c>
      <x:c r="E6" s="92">
        <x:f t="shared" si="1"/>
      </x:c>
      <x:c r="F6" s="93"/>
      <x:c r="G6" s="93"/>
      <x:c r="H6" s="94">
        <x:f t="shared" si="2"/>
      </x:c>
      <x:c r="I6" s="93"/>
      <x:c r="J6" s="93"/>
      <x:c r="K6" s="93"/>
      <x:c r="L6" s="4"/>
      <x:c r="M6" s="4"/>
      <x:c r="N6" s="4"/>
      <x:c r="O6" s="6">
        <x:f t="shared" si="3"/>
      </x:c>
      <x:c r="P6" s="6">
        <x:f t="shared" si="4"/>
      </x:c>
      <x:c r="Q6" s="2"/>
      <x:c r="R6" s="2"/>
    </x:row>
    <x:row r="7">
      <x:c r="A7" s="43"/>
      <x:c r="B7" s="93"/>
      <x:c r="C7" s="93"/>
      <x:c r="D7" s="92">
        <x:f t="shared" si="0"/>
      </x:c>
      <x:c r="E7" s="92">
        <x:f t="shared" si="1"/>
      </x:c>
      <x:c r="F7" s="93"/>
      <x:c r="G7" s="93"/>
      <x:c r="H7" s="94">
        <x:f t="shared" si="2"/>
      </x:c>
      <x:c r="I7" s="93"/>
      <x:c r="J7" s="93"/>
      <x:c r="K7" s="93"/>
      <x:c r="L7" s="4"/>
      <x:c r="M7" s="4"/>
      <x:c r="N7" s="4"/>
      <x:c r="O7" s="6">
        <x:f t="shared" si="3"/>
      </x:c>
      <x:c r="P7" s="6">
        <x:f t="shared" si="4"/>
      </x:c>
      <x:c r="Q7" s="2"/>
      <x:c r="R7" s="2"/>
    </x:row>
    <x:row r="8">
      <x:c r="A8" s="43"/>
      <x:c r="B8" s="93"/>
      <x:c r="C8" s="93"/>
      <x:c r="D8" s="92">
        <x:f t="shared" si="0"/>
      </x:c>
      <x:c r="E8" s="92">
        <x:f t="shared" si="1"/>
      </x:c>
      <x:c r="F8" s="93"/>
      <x:c r="G8" s="93"/>
      <x:c r="H8" s="94">
        <x:f t="shared" si="2"/>
      </x:c>
      <x:c r="I8" s="93"/>
      <x:c r="J8" s="93"/>
      <x:c r="K8" s="93"/>
      <x:c r="L8" s="4"/>
      <x:c r="M8" s="4"/>
      <x:c r="N8" s="4"/>
      <x:c r="O8" s="6">
        <x:f t="shared" si="3"/>
      </x:c>
      <x:c r="P8" s="6">
        <x:f t="shared" si="4"/>
      </x:c>
      <x:c r="Q8" s="2"/>
      <x:c r="R8" s="2"/>
    </x:row>
    <x:row r="9">
      <x:c r="A9" s="43"/>
      <x:c r="B9" s="93"/>
      <x:c r="C9" s="93"/>
      <x:c r="D9" s="92">
        <x:f t="shared" si="0"/>
      </x:c>
      <x:c r="E9" s="92">
        <x:f t="shared" si="1"/>
      </x:c>
      <x:c r="F9" s="93"/>
      <x:c r="G9" s="93"/>
      <x:c r="H9" s="94">
        <x:f t="shared" si="2"/>
      </x:c>
      <x:c r="I9" s="93"/>
      <x:c r="J9" s="93"/>
      <x:c r="K9" s="93"/>
      <x:c r="L9" s="4"/>
      <x:c r="M9" s="4"/>
      <x:c r="N9" s="4"/>
      <x:c r="O9" s="6">
        <x:f t="shared" si="3"/>
      </x:c>
      <x:c r="P9" s="6">
        <x:f t="shared" si="4"/>
      </x:c>
      <x:c r="Q9" s="2"/>
      <x:c r="R9" s="2"/>
    </x:row>
    <x:row r="10">
      <x:c r="A10" s="43"/>
      <x:c r="B10" s="93"/>
      <x:c r="C10" s="93"/>
      <x:c r="D10" s="92">
        <x:f t="shared" si="0"/>
      </x:c>
      <x:c r="E10" s="92">
        <x:f t="shared" si="1"/>
      </x:c>
      <x:c r="F10" s="93"/>
      <x:c r="G10" s="93"/>
      <x:c r="H10" s="94">
        <x:f t="shared" si="2"/>
      </x:c>
      <x:c r="I10" s="93"/>
      <x:c r="J10" s="93"/>
      <x:c r="K10" s="93"/>
      <x:c r="L10" s="4"/>
      <x:c r="M10" s="4"/>
      <x:c r="N10" s="4"/>
      <x:c r="O10" s="6">
        <x:f t="shared" si="3"/>
      </x:c>
      <x:c r="P10" s="6">
        <x:f t="shared" si="4"/>
      </x:c>
      <x:c r="Q10" s="2"/>
      <x:c r="R10" s="2"/>
    </x:row>
    <x:row r="11">
      <x:c r="A11" s="43"/>
      <x:c r="B11" s="93"/>
      <x:c r="C11" s="93"/>
      <x:c r="D11" s="92">
        <x:f t="shared" si="0"/>
      </x:c>
      <x:c r="E11" s="92">
        <x:f t="shared" si="1"/>
      </x:c>
      <x:c r="F11" s="93"/>
      <x:c r="G11" s="93"/>
      <x:c r="H11" s="94">
        <x:f t="shared" si="2"/>
      </x:c>
      <x:c r="I11" s="93"/>
      <x:c r="J11" s="93"/>
      <x:c r="K11" s="93"/>
      <x:c r="L11" s="4"/>
      <x:c r="M11" s="4"/>
      <x:c r="N11" s="4"/>
      <x:c r="O11" s="6">
        <x:f t="shared" si="3"/>
      </x:c>
      <x:c r="P11" s="6">
        <x:f t="shared" si="4"/>
      </x:c>
      <x:c r="Q11" s="2"/>
      <x:c r="R11" s="2"/>
    </x:row>
    <x:row r="12">
      <x:c r="A12" s="43"/>
      <x:c r="B12" s="93"/>
      <x:c r="C12" s="93"/>
      <x:c r="D12" s="92">
        <x:f t="shared" si="0"/>
      </x:c>
      <x:c r="E12" s="92">
        <x:f t="shared" si="1"/>
      </x:c>
      <x:c r="F12" s="93"/>
      <x:c r="G12" s="93"/>
      <x:c r="H12" s="94">
        <x:f t="shared" si="2"/>
      </x:c>
      <x:c r="I12" s="93"/>
      <x:c r="J12" s="93"/>
      <x:c r="K12" s="93"/>
      <x:c r="L12" s="4"/>
      <x:c r="M12" s="4"/>
      <x:c r="N12" s="4"/>
      <x:c r="O12" s="6">
        <x:f t="shared" si="3"/>
      </x:c>
      <x:c r="P12" s="6">
        <x:f t="shared" si="4"/>
      </x:c>
      <x:c r="Q12" s="2"/>
      <x:c r="R12" s="2"/>
    </x:row>
    <x:row r="13">
      <x:c r="A13" s="43"/>
      <x:c r="B13" s="93"/>
      <x:c r="C13" s="93"/>
      <x:c r="D13" s="92">
        <x:f t="shared" si="0"/>
      </x:c>
      <x:c r="E13" s="92">
        <x:f t="shared" si="1"/>
      </x:c>
      <x:c r="F13" s="93"/>
      <x:c r="G13" s="93"/>
      <x:c r="H13" s="94">
        <x:f t="shared" si="2"/>
      </x:c>
      <x:c r="I13" s="93"/>
      <x:c r="J13" s="93"/>
      <x:c r="K13" s="93"/>
      <x:c r="L13" s="4"/>
      <x:c r="M13" s="4"/>
      <x:c r="N13" s="4"/>
      <x:c r="O13" s="6">
        <x:f t="shared" si="3"/>
      </x:c>
      <x:c r="P13" s="6">
        <x:f t="shared" si="4"/>
      </x:c>
      <x:c r="Q13" s="2"/>
      <x:c r="R13" s="2"/>
    </x:row>
    <x:row r="14">
      <x:c r="A14" s="43"/>
      <x:c r="B14" s="93"/>
      <x:c r="C14" s="93"/>
      <x:c r="D14" s="92">
        <x:f t="shared" si="0"/>
      </x:c>
      <x:c r="E14" s="92">
        <x:f t="shared" si="1"/>
      </x:c>
      <x:c r="F14" s="93"/>
      <x:c r="G14" s="93"/>
      <x:c r="H14" s="94">
        <x:f t="shared" si="2"/>
      </x:c>
      <x:c r="I14" s="93"/>
      <x:c r="J14" s="93"/>
      <x:c r="K14" s="93"/>
      <x:c r="L14" s="4"/>
      <x:c r="M14" s="4"/>
      <x:c r="N14" s="4"/>
      <x:c r="O14" s="6">
        <x:f t="shared" si="3"/>
      </x:c>
      <x:c r="P14" s="6">
        <x:f t="shared" si="4"/>
      </x:c>
      <x:c r="Q14" s="2"/>
      <x:c r="R14" s="2"/>
    </x:row>
    <x:row r="15">
      <x:c r="A15" s="43"/>
      <x:c r="B15" s="93"/>
      <x:c r="C15" s="93"/>
      <x:c r="D15" s="92">
        <x:f t="shared" si="0"/>
      </x:c>
      <x:c r="E15" s="92">
        <x:f t="shared" si="1"/>
      </x:c>
      <x:c r="F15" s="93"/>
      <x:c r="G15" s="93"/>
      <x:c r="H15" s="94">
        <x:f t="shared" si="2"/>
      </x:c>
      <x:c r="I15" s="93"/>
      <x:c r="J15" s="93"/>
      <x:c r="K15" s="93"/>
      <x:c r="L15" s="4"/>
      <x:c r="M15" s="4"/>
      <x:c r="N15" s="4"/>
      <x:c r="O15" s="6">
        <x:f t="shared" si="3"/>
      </x:c>
      <x:c r="P15" s="6">
        <x:f t="shared" si="4"/>
      </x:c>
      <x:c r="Q15" s="2"/>
      <x:c r="R15" s="2"/>
    </x:row>
    <x:row r="16">
      <x:c r="A16" s="43"/>
      <x:c r="B16" s="93"/>
      <x:c r="C16" s="93"/>
      <x:c r="D16" s="92">
        <x:f t="shared" si="0"/>
      </x:c>
      <x:c r="E16" s="92">
        <x:f t="shared" si="1"/>
      </x:c>
      <x:c r="F16" s="93"/>
      <x:c r="G16" s="93"/>
      <x:c r="H16" s="94">
        <x:f t="shared" si="2"/>
      </x:c>
      <x:c r="I16" s="93"/>
      <x:c r="J16" s="93"/>
      <x:c r="K16" s="93"/>
      <x:c r="L16" s="4"/>
      <x:c r="M16" s="4"/>
      <x:c r="N16" s="4"/>
      <x:c r="O16" s="6">
        <x:f t="shared" si="3"/>
      </x:c>
      <x:c r="P16" s="6">
        <x:f t="shared" si="4"/>
      </x:c>
      <x:c r="Q16" s="2"/>
      <x:c r="R16" s="2"/>
    </x:row>
    <x:row r="17">
      <x:c r="A17" s="43"/>
      <x:c r="B17" s="93"/>
      <x:c r="C17" s="93"/>
      <x:c r="D17" s="92">
        <x:f t="shared" si="0"/>
      </x:c>
      <x:c r="E17" s="92">
        <x:f t="shared" si="1"/>
      </x:c>
      <x:c r="F17" s="93"/>
      <x:c r="G17" s="93"/>
      <x:c r="H17" s="94">
        <x:f t="shared" si="2"/>
      </x:c>
      <x:c r="I17" s="93"/>
      <x:c r="J17" s="93"/>
      <x:c r="K17" s="93"/>
      <x:c r="L17" s="4"/>
      <x:c r="M17" s="4"/>
      <x:c r="N17" s="4"/>
      <x:c r="O17" s="6">
        <x:f t="shared" si="3"/>
      </x:c>
      <x:c r="P17" s="6">
        <x:f t="shared" si="4"/>
      </x:c>
      <x:c r="Q17" s="2"/>
      <x:c r="R17" s="2"/>
    </x:row>
    <x:row r="18">
      <x:c r="A18" s="43"/>
      <x:c r="B18" s="93"/>
      <x:c r="C18" s="93"/>
      <x:c r="D18" s="92">
        <x:f t="shared" si="0"/>
      </x:c>
      <x:c r="E18" s="92">
        <x:f t="shared" si="1"/>
      </x:c>
      <x:c r="F18" s="93"/>
      <x:c r="G18" s="93"/>
      <x:c r="H18" s="94">
        <x:f t="shared" si="2"/>
      </x:c>
      <x:c r="I18" s="93"/>
      <x:c r="J18" s="93"/>
      <x:c r="K18" s="93"/>
      <x:c r="L18" s="4"/>
      <x:c r="M18" s="4"/>
      <x:c r="N18" s="4"/>
      <x:c r="O18" s="6">
        <x:f t="shared" si="3"/>
      </x:c>
      <x:c r="P18" s="6">
        <x:f t="shared" si="4"/>
      </x:c>
      <x:c r="Q18" s="2"/>
      <x:c r="R18" s="2"/>
    </x:row>
    <x:row r="19">
      <x:c r="A19" s="43"/>
      <x:c r="B19" s="93"/>
      <x:c r="C19" s="93"/>
      <x:c r="D19" s="92">
        <x:f t="shared" si="0"/>
      </x:c>
      <x:c r="E19" s="92">
        <x:f t="shared" si="1"/>
      </x:c>
      <x:c r="F19" s="93"/>
      <x:c r="G19" s="93"/>
      <x:c r="H19" s="94">
        <x:f t="shared" si="2"/>
      </x:c>
      <x:c r="I19" s="93"/>
      <x:c r="J19" s="93"/>
      <x:c r="K19" s="93"/>
      <x:c r="L19" s="4"/>
      <x:c r="M19" s="4"/>
      <x:c r="N19" s="4"/>
      <x:c r="O19" s="6">
        <x:f t="shared" si="3"/>
      </x:c>
      <x:c r="P19" s="6">
        <x:f t="shared" si="4"/>
      </x:c>
      <x:c r="Q19" s="2"/>
      <x:c r="R19" s="2"/>
    </x:row>
    <x:row r="20">
      <x:c r="A20" s="43"/>
      <x:c r="B20" s="93"/>
      <x:c r="C20" s="93"/>
      <x:c r="D20" s="92">
        <x:f t="shared" si="0"/>
      </x:c>
      <x:c r="E20" s="92">
        <x:f t="shared" si="1"/>
      </x:c>
      <x:c r="F20" s="93"/>
      <x:c r="G20" s="93"/>
      <x:c r="H20" s="94">
        <x:f t="shared" si="2"/>
      </x:c>
      <x:c r="I20" s="93"/>
      <x:c r="J20" s="93"/>
      <x:c r="K20" s="93"/>
      <x:c r="L20" s="4"/>
      <x:c r="M20" s="4"/>
      <x:c r="N20" s="4"/>
      <x:c r="O20" s="6">
        <x:f t="shared" si="3"/>
      </x:c>
      <x:c r="P20" s="6">
        <x:f t="shared" si="4"/>
      </x:c>
      <x:c r="Q20" s="2"/>
      <x:c r="R20" s="2"/>
    </x:row>
    <x:row r="21">
      <x:c r="A21" s="43"/>
      <x:c r="B21" s="93"/>
      <x:c r="C21" s="93"/>
      <x:c r="D21" s="92">
        <x:f t="shared" si="0"/>
      </x:c>
      <x:c r="E21" s="92">
        <x:f t="shared" si="1"/>
      </x:c>
      <x:c r="F21" s="93"/>
      <x:c r="G21" s="93"/>
      <x:c r="H21" s="94">
        <x:f t="shared" si="2"/>
      </x:c>
      <x:c r="I21" s="93"/>
      <x:c r="J21" s="93"/>
      <x:c r="K21" s="93"/>
      <x:c r="L21" s="4"/>
      <x:c r="M21" s="4"/>
      <x:c r="N21" s="4"/>
      <x:c r="O21" s="6">
        <x:f t="shared" si="3"/>
      </x:c>
      <x:c r="P21" s="6">
        <x:f t="shared" si="4"/>
      </x:c>
      <x:c r="Q21" s="2"/>
      <x:c r="R21" s="2"/>
    </x:row>
    <x:row r="22">
      <x:c r="A22" s="43"/>
      <x:c r="B22" s="93"/>
      <x:c r="C22" s="93"/>
      <x:c r="D22" s="92">
        <x:f t="shared" si="0"/>
      </x:c>
      <x:c r="E22" s="92">
        <x:f t="shared" si="1"/>
      </x:c>
      <x:c r="F22" s="93"/>
      <x:c r="G22" s="93"/>
      <x:c r="H22" s="94">
        <x:f t="shared" si="2"/>
      </x:c>
      <x:c r="I22" s="93"/>
      <x:c r="J22" s="93"/>
      <x:c r="K22" s="93"/>
      <x:c r="L22" s="4"/>
      <x:c r="M22" s="4"/>
      <x:c r="N22" s="4"/>
      <x:c r="O22" s="6">
        <x:f t="shared" si="3"/>
      </x:c>
      <x:c r="P22" s="6">
        <x:f t="shared" si="4"/>
      </x:c>
      <x:c r="Q22" s="2"/>
      <x:c r="R22" s="2"/>
    </x:row>
    <x:row r="23">
      <x:c r="A23" s="43"/>
      <x:c r="B23" s="93"/>
      <x:c r="C23" s="93"/>
      <x:c r="D23" s="92">
        <x:f t="shared" si="0"/>
      </x:c>
      <x:c r="E23" s="92">
        <x:f t="shared" si="1"/>
      </x:c>
      <x:c r="F23" s="93"/>
      <x:c r="G23" s="93"/>
      <x:c r="H23" s="94">
        <x:f t="shared" si="2"/>
      </x:c>
      <x:c r="I23" s="93"/>
      <x:c r="J23" s="93"/>
      <x:c r="K23" s="93"/>
      <x:c r="L23" s="4"/>
      <x:c r="M23" s="4"/>
      <x:c r="N23" s="4"/>
      <x:c r="O23" s="6">
        <x:f t="shared" si="3"/>
      </x:c>
      <x:c r="P23" s="6">
        <x:f t="shared" si="4"/>
      </x:c>
      <x:c r="Q23" s="2"/>
      <x:c r="R23" s="2"/>
    </x:row>
    <x:row r="24">
      <x:c r="A24" s="43"/>
      <x:c r="B24" s="93"/>
      <x:c r="C24" s="93"/>
      <x:c r="D24" s="92">
        <x:f t="shared" si="0"/>
      </x:c>
      <x:c r="E24" s="92">
        <x:f t="shared" si="1"/>
      </x:c>
      <x:c r="F24" s="93"/>
      <x:c r="G24" s="93"/>
      <x:c r="H24" s="94">
        <x:f t="shared" si="2"/>
      </x:c>
      <x:c r="I24" s="93"/>
      <x:c r="J24" s="93"/>
      <x:c r="K24" s="93"/>
      <x:c r="L24" s="4"/>
      <x:c r="M24" s="4"/>
      <x:c r="N24" s="4"/>
      <x:c r="O24" s="6">
        <x:f t="shared" si="3"/>
      </x:c>
      <x:c r="P24" s="6">
        <x:f t="shared" si="4"/>
      </x:c>
      <x:c r="Q24" s="2"/>
      <x:c r="R24" s="2"/>
    </x:row>
    <x:row r="25">
      <x:c r="A25" s="43"/>
      <x:c r="B25" s="93"/>
      <x:c r="C25" s="93"/>
      <x:c r="D25" s="92">
        <x:f t="shared" si="0"/>
      </x:c>
      <x:c r="E25" s="92">
        <x:f t="shared" si="1"/>
      </x:c>
      <x:c r="F25" s="93"/>
      <x:c r="G25" s="93"/>
      <x:c r="H25" s="94">
        <x:f t="shared" si="2"/>
      </x:c>
      <x:c r="I25" s="93"/>
      <x:c r="J25" s="93"/>
      <x:c r="K25" s="93"/>
      <x:c r="L25" s="4"/>
      <x:c r="M25" s="4"/>
      <x:c r="N25" s="4"/>
      <x:c r="O25" s="6">
        <x:f t="shared" si="3"/>
      </x:c>
      <x:c r="P25" s="6">
        <x:f t="shared" si="4"/>
      </x:c>
      <x:c r="Q25" s="2"/>
      <x:c r="R25" s="2"/>
    </x:row>
    <x:row r="26">
      <x:c r="A26" s="43"/>
      <x:c r="B26" s="93"/>
      <x:c r="C26" s="93"/>
      <x:c r="D26" s="92">
        <x:f t="shared" si="0"/>
      </x:c>
      <x:c r="E26" s="92">
        <x:f t="shared" si="1"/>
      </x:c>
      <x:c r="F26" s="93"/>
      <x:c r="G26" s="93"/>
      <x:c r="H26" s="94">
        <x:f t="shared" si="2"/>
      </x:c>
      <x:c r="I26" s="93"/>
      <x:c r="J26" s="93"/>
      <x:c r="K26" s="93"/>
      <x:c r="L26" s="4"/>
      <x:c r="M26" s="4"/>
      <x:c r="N26" s="4"/>
      <x:c r="O26" s="6">
        <x:f t="shared" si="3"/>
      </x:c>
      <x:c r="P26" s="6">
        <x:f t="shared" si="4"/>
      </x:c>
      <x:c r="Q26" s="2"/>
      <x:c r="R26" s="2"/>
    </x:row>
    <x:row r="27">
      <x:c r="A27" s="43"/>
      <x:c r="B27" s="93"/>
      <x:c r="C27" s="93"/>
      <x:c r="D27" s="92">
        <x:f t="shared" si="0"/>
      </x:c>
      <x:c r="E27" s="92">
        <x:f t="shared" si="1"/>
      </x:c>
      <x:c r="F27" s="93"/>
      <x:c r="G27" s="93"/>
      <x:c r="H27" s="94">
        <x:f t="shared" si="2"/>
      </x:c>
      <x:c r="I27" s="93"/>
      <x:c r="J27" s="93"/>
      <x:c r="K27" s="93"/>
      <x:c r="L27" s="4"/>
      <x:c r="M27" s="4"/>
      <x:c r="N27" s="4"/>
      <x:c r="O27" s="6">
        <x:f t="shared" si="3"/>
      </x:c>
      <x:c r="P27" s="6">
        <x:f t="shared" si="4"/>
      </x:c>
      <x:c r="Q27" s="2"/>
      <x:c r="R27" s="2"/>
    </x:row>
    <x:row r="28">
      <x:c r="A28" s="43"/>
      <x:c r="B28" s="93"/>
      <x:c r="C28" s="93"/>
      <x:c r="D28" s="92">
        <x:f t="shared" si="0"/>
      </x:c>
      <x:c r="E28" s="92">
        <x:f t="shared" si="1"/>
      </x:c>
      <x:c r="F28" s="93"/>
      <x:c r="G28" s="93"/>
      <x:c r="H28" s="94">
        <x:f t="shared" si="2"/>
      </x:c>
      <x:c r="I28" s="93"/>
      <x:c r="J28" s="93"/>
      <x:c r="K28" s="93"/>
      <x:c r="L28" s="4"/>
      <x:c r="M28" s="4"/>
      <x:c r="N28" s="4"/>
      <x:c r="O28" s="6">
        <x:f t="shared" si="3"/>
      </x:c>
      <x:c r="P28" s="6">
        <x:f t="shared" si="4"/>
      </x:c>
      <x:c r="Q28" s="2"/>
      <x:c r="R28" s="2"/>
    </x:row>
    <x:row r="29">
      <x:c r="A29" s="43"/>
      <x:c r="B29" s="93"/>
      <x:c r="C29" s="93"/>
      <x:c r="D29" s="92">
        <x:f t="shared" si="0"/>
      </x:c>
      <x:c r="E29" s="92">
        <x:f t="shared" si="1"/>
      </x:c>
      <x:c r="F29" s="93"/>
      <x:c r="G29" s="93"/>
      <x:c r="H29" s="94">
        <x:f t="shared" si="2"/>
      </x:c>
      <x:c r="I29" s="93"/>
      <x:c r="J29" s="93"/>
      <x:c r="K29" s="93"/>
      <x:c r="L29" s="4"/>
      <x:c r="M29" s="4"/>
      <x:c r="N29" s="4"/>
      <x:c r="O29" s="6">
        <x:f t="shared" si="3"/>
      </x:c>
      <x:c r="P29" s="6">
        <x:f t="shared" si="4"/>
      </x:c>
      <x:c r="Q29" s="2"/>
      <x:c r="R29" s="2"/>
    </x:row>
    <x:row r="30">
      <x:c r="A30" s="43"/>
      <x:c r="B30" s="93"/>
      <x:c r="C30" s="93"/>
      <x:c r="D30" s="92">
        <x:f t="shared" si="0"/>
      </x:c>
      <x:c r="E30" s="92">
        <x:f t="shared" si="1"/>
      </x:c>
      <x:c r="F30" s="93"/>
      <x:c r="G30" s="93"/>
      <x:c r="H30" s="94">
        <x:f t="shared" si="2"/>
      </x:c>
      <x:c r="I30" s="93"/>
      <x:c r="J30" s="93"/>
      <x:c r="K30" s="93"/>
      <x:c r="L30" s="4"/>
      <x:c r="M30" s="4"/>
      <x:c r="N30" s="4"/>
      <x:c r="O30" s="6">
        <x:f t="shared" si="3"/>
      </x:c>
      <x:c r="P30" s="6">
        <x:f t="shared" si="4"/>
      </x:c>
      <x:c r="Q30" s="2"/>
      <x:c r="R30" s="2"/>
    </x:row>
    <x:row r="31">
      <x:c r="A31" s="43"/>
      <x:c r="B31" s="93"/>
      <x:c r="C31" s="93"/>
      <x:c r="D31" s="92">
        <x:f t="shared" si="0"/>
      </x:c>
      <x:c r="E31" s="92">
        <x:f t="shared" si="1"/>
      </x:c>
      <x:c r="F31" s="93"/>
      <x:c r="G31" s="93"/>
      <x:c r="H31" s="94">
        <x:f t="shared" si="2"/>
      </x:c>
      <x:c r="I31" s="93"/>
      <x:c r="J31" s="93"/>
      <x:c r="K31" s="93"/>
      <x:c r="L31" s="4"/>
      <x:c r="M31" s="4"/>
      <x:c r="N31" s="4"/>
      <x:c r="O31" s="6">
        <x:f t="shared" si="3"/>
      </x:c>
      <x:c r="P31" s="6">
        <x:f t="shared" si="4"/>
      </x:c>
      <x:c r="Q31" s="2"/>
      <x:c r="R31" s="2"/>
    </x:row>
    <x:row r="32">
      <x:c r="A32" s="43"/>
      <x:c r="B32" s="93"/>
      <x:c r="C32" s="93"/>
      <x:c r="D32" s="92">
        <x:f t="shared" si="0"/>
      </x:c>
      <x:c r="E32" s="92">
        <x:f t="shared" si="1"/>
      </x:c>
      <x:c r="F32" s="93"/>
      <x:c r="G32" s="93"/>
      <x:c r="H32" s="94">
        <x:f t="shared" si="2"/>
      </x:c>
      <x:c r="I32" s="93"/>
      <x:c r="J32" s="93"/>
      <x:c r="K32" s="93"/>
      <x:c r="L32" s="4"/>
      <x:c r="M32" s="4"/>
      <x:c r="N32" s="4"/>
      <x:c r="O32" s="6">
        <x:f t="shared" si="3"/>
      </x:c>
      <x:c r="P32" s="6">
        <x:f t="shared" si="4"/>
      </x:c>
      <x:c r="Q32" s="2"/>
      <x:c r="R32" s="2"/>
    </x:row>
    <x:row r="33">
      <x:c r="A33" s="43"/>
      <x:c r="B33" s="93"/>
      <x:c r="C33" s="93"/>
      <x:c r="D33" s="92">
        <x:f t="shared" si="0"/>
      </x:c>
      <x:c r="E33" s="92">
        <x:f t="shared" si="1"/>
      </x:c>
      <x:c r="F33" s="93"/>
      <x:c r="G33" s="93"/>
      <x:c r="H33" s="94">
        <x:f t="shared" si="2"/>
      </x:c>
      <x:c r="I33" s="93"/>
      <x:c r="J33" s="93"/>
      <x:c r="K33" s="93"/>
      <x:c r="L33" s="4"/>
      <x:c r="M33" s="4"/>
      <x:c r="N33" s="4"/>
      <x:c r="O33" s="6">
        <x:f t="shared" si="3"/>
      </x:c>
      <x:c r="P33" s="6">
        <x:f t="shared" si="4"/>
      </x:c>
      <x:c r="Q33" s="2"/>
      <x:c r="R33" s="2"/>
    </x:row>
    <x:row r="34">
      <x:c r="A34" s="43"/>
      <x:c r="B34" s="93"/>
      <x:c r="C34" s="93"/>
      <x:c r="D34" s="92">
        <x:f t="shared" si="0"/>
      </x:c>
      <x:c r="E34" s="92">
        <x:f t="shared" si="1"/>
      </x:c>
      <x:c r="F34" s="93"/>
      <x:c r="G34" s="93"/>
      <x:c r="H34" s="94">
        <x:f t="shared" si="2"/>
      </x:c>
      <x:c r="I34" s="93"/>
      <x:c r="J34" s="93"/>
      <x:c r="K34" s="93"/>
      <x:c r="L34" s="4"/>
      <x:c r="M34" s="4"/>
      <x:c r="N34" s="4"/>
      <x:c r="O34" s="6">
        <x:f t="shared" si="3"/>
      </x:c>
      <x:c r="P34" s="6">
        <x:f t="shared" si="4"/>
      </x:c>
      <x:c r="Q34" s="2"/>
      <x:c r="R34" s="2"/>
    </x:row>
    <x:row r="35">
      <x:c r="A35" s="2"/>
      <x:c r="B35" s="4"/>
      <x:c r="C35" s="4"/>
      <x:c r="D35" s="3">
        <x:f t="shared" si="0"/>
      </x:c>
      <x:c r="E35" s="3">
        <x:f t="shared" si="1"/>
      </x:c>
      <x:c r="F35" s="4"/>
      <x:c r="G35" s="4"/>
      <x:c r="H35" s="5">
        <x:f t="shared" si="2"/>
      </x:c>
      <x:c r="I35" s="4"/>
      <x:c r="J35" s="4"/>
      <x:c r="K35" s="4"/>
      <x:c r="L35" s="4"/>
      <x:c r="M35" s="4"/>
      <x:c r="N35" s="4"/>
      <x:c r="O35" s="6">
        <x:f t="shared" si="3"/>
      </x:c>
      <x:c r="P35" s="6">
        <x:f t="shared" si="4"/>
      </x:c>
      <x:c r="Q35" s="2"/>
      <x:c r="R35" s="2"/>
    </x:row>
    <x:row r="36">
      <x:c r="A36" s="2"/>
      <x:c r="B36" s="4"/>
      <x:c r="C36" s="4"/>
      <x:c r="D36" s="3">
        <x:f t="shared" si="0"/>
      </x:c>
      <x:c r="E36" s="3">
        <x:f t="shared" si="1"/>
      </x:c>
      <x:c r="F36" s="4"/>
      <x:c r="G36" s="4"/>
      <x:c r="H36" s="5">
        <x:f t="shared" si="2"/>
      </x:c>
      <x:c r="I36" s="4"/>
      <x:c r="J36" s="4"/>
      <x:c r="K36" s="4"/>
      <x:c r="L36" s="4"/>
      <x:c r="M36" s="4"/>
      <x:c r="N36" s="4"/>
      <x:c r="O36" s="6">
        <x:f t="shared" si="3"/>
      </x:c>
      <x:c r="P36" s="6">
        <x:f t="shared" si="4"/>
      </x:c>
      <x:c r="Q36" s="2"/>
      <x:c r="R36" s="2"/>
    </x:row>
    <x:row r="37">
      <x:c r="A37" s="2"/>
      <x:c r="B37" s="4"/>
      <x:c r="C37" s="4"/>
      <x:c r="D37" s="3" t="str">
        <x:f t="shared" ref="D37:D64" si="5">IF(COUNT(C37:C43)=0,"",AVERAGE(C37:C43))</x:f>
      </x:c>
      <x:c r="E37" s="3" t="str">
        <x:f t="shared" ref="E37:E64" si="6">IF(OR(C37="",D37=""),"",C37-D37)</x:f>
      </x:c>
      <x:c r="F37" s="4"/>
      <x:c r="G37" s="4"/>
      <x:c r="H37" s="5" t="str">
        <x:f t="shared" ref="H37:H64" si="7">IF(OR(F37="",G37=""),"",(F37-G37)/G37)</x:f>
      </x:c>
      <x:c r="I37" s="4"/>
      <x:c r="J37" s="4"/>
      <x:c r="K37" s="4"/>
      <x:c r="L37" s="4"/>
      <x:c r="M37" s="4"/>
      <x:c r="N37" s="4"/>
      <x:c r="O37" s="6" t="str">
        <x:f t="shared" ref="O37:O64" si="8">IF(B37&lt;&gt;"是","测量条件不标准",IF(E37&gt;=12,"明显疲劳风险",IF(E37&gt;=6,"可能疲劳",IF(OR(L37&gt;=4,M37&gt;=5),"可能疲劳","正常/待结合其他指标"))))</x:f>
        <x:v>测量条件不标准</x:v>
      </x:c>
      <x:c r="P37" s="6" t="str">
        <x:f t="shared" ref="P37:P64" si="9">IF(O37="明显疲劳风险","优先休息/恢复后继续下一Session",IF(O37="可能疲劳","结合握力/睡眠/主观状态决定休息或降强度","按计划训练"))</x:f>
        <x:v>按计划训练</x:v>
      </x:c>
      <x:c r="Q37" s="2"/>
      <x:c r="R37" s="2"/>
    </x:row>
    <x:row r="38">
      <x:c r="A38" s="2"/>
      <x:c r="B38" s="4"/>
      <x:c r="C38" s="4"/>
      <x:c r="D38" s="3">
        <x:f t="shared" si="5"/>
      </x:c>
      <x:c r="E38" s="3">
        <x:f t="shared" si="6"/>
      </x:c>
      <x:c r="F38" s="4"/>
      <x:c r="G38" s="4"/>
      <x:c r="H38" s="5">
        <x:f t="shared" si="7"/>
      </x:c>
      <x:c r="I38" s="4"/>
      <x:c r="J38" s="4"/>
      <x:c r="K38" s="4"/>
      <x:c r="L38" s="4"/>
      <x:c r="M38" s="4"/>
      <x:c r="N38" s="4"/>
      <x:c r="O38" s="6">
        <x:f t="shared" si="8"/>
      </x:c>
      <x:c r="P38" s="6">
        <x:f t="shared" si="9"/>
      </x:c>
      <x:c r="Q38" s="2"/>
      <x:c r="R38" s="2"/>
    </x:row>
    <x:row r="39">
      <x:c r="A39" s="2"/>
      <x:c r="B39" s="4"/>
      <x:c r="C39" s="4"/>
      <x:c r="D39" s="3">
        <x:f t="shared" si="5"/>
      </x:c>
      <x:c r="E39" s="3">
        <x:f t="shared" si="6"/>
      </x:c>
      <x:c r="F39" s="4"/>
      <x:c r="G39" s="4"/>
      <x:c r="H39" s="5">
        <x:f t="shared" si="7"/>
      </x:c>
      <x:c r="I39" s="4"/>
      <x:c r="J39" s="4"/>
      <x:c r="K39" s="4"/>
      <x:c r="L39" s="4"/>
      <x:c r="M39" s="4"/>
      <x:c r="N39" s="4"/>
      <x:c r="O39" s="6">
        <x:f t="shared" si="8"/>
      </x:c>
      <x:c r="P39" s="6">
        <x:f t="shared" si="9"/>
      </x:c>
      <x:c r="Q39" s="2"/>
      <x:c r="R39" s="2"/>
    </x:row>
    <x:row r="40">
      <x:c r="A40" s="2"/>
      <x:c r="B40" s="4"/>
      <x:c r="C40" s="4"/>
      <x:c r="D40" s="3">
        <x:f t="shared" si="5"/>
      </x:c>
      <x:c r="E40" s="3">
        <x:f t="shared" si="6"/>
      </x:c>
      <x:c r="F40" s="4"/>
      <x:c r="G40" s="4"/>
      <x:c r="H40" s="5">
        <x:f t="shared" si="7"/>
      </x:c>
      <x:c r="I40" s="4"/>
      <x:c r="J40" s="4"/>
      <x:c r="K40" s="4"/>
      <x:c r="L40" s="4"/>
      <x:c r="M40" s="4"/>
      <x:c r="N40" s="4"/>
      <x:c r="O40" s="6">
        <x:f t="shared" si="8"/>
      </x:c>
      <x:c r="P40" s="6">
        <x:f t="shared" si="9"/>
      </x:c>
      <x:c r="Q40" s="2"/>
      <x:c r="R40" s="2"/>
    </x:row>
    <x:row r="41">
      <x:c r="A41" s="2"/>
      <x:c r="B41" s="4"/>
      <x:c r="C41" s="4"/>
      <x:c r="D41" s="3">
        <x:f t="shared" si="5"/>
      </x:c>
      <x:c r="E41" s="3">
        <x:f t="shared" si="6"/>
      </x:c>
      <x:c r="F41" s="4"/>
      <x:c r="G41" s="4"/>
      <x:c r="H41" s="5">
        <x:f t="shared" si="7"/>
      </x:c>
      <x:c r="I41" s="4"/>
      <x:c r="J41" s="4"/>
      <x:c r="K41" s="4"/>
      <x:c r="L41" s="4"/>
      <x:c r="M41" s="4"/>
      <x:c r="N41" s="4"/>
      <x:c r="O41" s="6">
        <x:f t="shared" si="8"/>
      </x:c>
      <x:c r="P41" s="6">
        <x:f t="shared" si="9"/>
      </x:c>
      <x:c r="Q41" s="2"/>
      <x:c r="R41" s="2"/>
    </x:row>
    <x:row r="42">
      <x:c r="A42" s="2"/>
      <x:c r="B42" s="4"/>
      <x:c r="C42" s="4"/>
      <x:c r="D42" s="3">
        <x:f t="shared" si="5"/>
      </x:c>
      <x:c r="E42" s="3">
        <x:f t="shared" si="6"/>
      </x:c>
      <x:c r="F42" s="4"/>
      <x:c r="G42" s="4"/>
      <x:c r="H42" s="5">
        <x:f t="shared" si="7"/>
      </x:c>
      <x:c r="I42" s="4"/>
      <x:c r="J42" s="4"/>
      <x:c r="K42" s="4"/>
      <x:c r="L42" s="4"/>
      <x:c r="M42" s="4"/>
      <x:c r="N42" s="4"/>
      <x:c r="O42" s="6">
        <x:f t="shared" si="8"/>
      </x:c>
      <x:c r="P42" s="6">
        <x:f t="shared" si="9"/>
      </x:c>
      <x:c r="Q42" s="2"/>
      <x:c r="R42" s="2"/>
    </x:row>
    <x:row r="43">
      <x:c r="A43" s="2"/>
      <x:c r="B43" s="4"/>
      <x:c r="C43" s="4"/>
      <x:c r="D43" s="3">
        <x:f t="shared" si="5"/>
      </x:c>
      <x:c r="E43" s="3">
        <x:f t="shared" si="6"/>
      </x:c>
      <x:c r="F43" s="4"/>
      <x:c r="G43" s="4"/>
      <x:c r="H43" s="5">
        <x:f t="shared" si="7"/>
      </x:c>
      <x:c r="I43" s="4"/>
      <x:c r="J43" s="4"/>
      <x:c r="K43" s="4"/>
      <x:c r="L43" s="4"/>
      <x:c r="M43" s="4"/>
      <x:c r="N43" s="4"/>
      <x:c r="O43" s="6">
        <x:f t="shared" si="8"/>
      </x:c>
      <x:c r="P43" s="6">
        <x:f t="shared" si="9"/>
      </x:c>
      <x:c r="Q43" s="2"/>
      <x:c r="R43" s="2"/>
    </x:row>
    <x:row r="44">
      <x:c r="A44" s="2"/>
      <x:c r="B44" s="4"/>
      <x:c r="C44" s="4"/>
      <x:c r="D44" s="3">
        <x:f t="shared" si="5"/>
      </x:c>
      <x:c r="E44" s="3">
        <x:f t="shared" si="6"/>
      </x:c>
      <x:c r="F44" s="4"/>
      <x:c r="G44" s="4"/>
      <x:c r="H44" s="5">
        <x:f t="shared" si="7"/>
      </x:c>
      <x:c r="I44" s="4"/>
      <x:c r="J44" s="4"/>
      <x:c r="K44" s="4"/>
      <x:c r="L44" s="4"/>
      <x:c r="M44" s="4"/>
      <x:c r="N44" s="4"/>
      <x:c r="O44" s="6">
        <x:f t="shared" si="8"/>
      </x:c>
      <x:c r="P44" s="6">
        <x:f t="shared" si="9"/>
      </x:c>
      <x:c r="Q44" s="2"/>
      <x:c r="R44" s="2"/>
    </x:row>
    <x:row r="45">
      <x:c r="A45" s="2"/>
      <x:c r="B45" s="4"/>
      <x:c r="C45" s="4"/>
      <x:c r="D45" s="3">
        <x:f t="shared" si="5"/>
      </x:c>
      <x:c r="E45" s="3">
        <x:f t="shared" si="6"/>
      </x:c>
      <x:c r="F45" s="4"/>
      <x:c r="G45" s="4"/>
      <x:c r="H45" s="5">
        <x:f t="shared" si="7"/>
      </x:c>
      <x:c r="I45" s="4"/>
      <x:c r="J45" s="4"/>
      <x:c r="K45" s="4"/>
      <x:c r="L45" s="4"/>
      <x:c r="M45" s="4"/>
      <x:c r="N45" s="4"/>
      <x:c r="O45" s="6">
        <x:f t="shared" si="8"/>
      </x:c>
      <x:c r="P45" s="6">
        <x:f t="shared" si="9"/>
      </x:c>
      <x:c r="Q45" s="2"/>
      <x:c r="R45" s="2"/>
    </x:row>
    <x:row r="46">
      <x:c r="A46" s="2"/>
      <x:c r="B46" s="4"/>
      <x:c r="C46" s="4"/>
      <x:c r="D46" s="3">
        <x:f t="shared" si="5"/>
      </x:c>
      <x:c r="E46" s="3">
        <x:f t="shared" si="6"/>
      </x:c>
      <x:c r="F46" s="4"/>
      <x:c r="G46" s="4"/>
      <x:c r="H46" s="5">
        <x:f t="shared" si="7"/>
      </x:c>
      <x:c r="I46" s="4"/>
      <x:c r="J46" s="4"/>
      <x:c r="K46" s="4"/>
      <x:c r="L46" s="4"/>
      <x:c r="M46" s="4"/>
      <x:c r="N46" s="4"/>
      <x:c r="O46" s="6">
        <x:f t="shared" si="8"/>
      </x:c>
      <x:c r="P46" s="6">
        <x:f t="shared" si="9"/>
      </x:c>
      <x:c r="Q46" s="2"/>
      <x:c r="R46" s="2"/>
    </x:row>
    <x:row r="47">
      <x:c r="A47" s="2"/>
      <x:c r="B47" s="4"/>
      <x:c r="C47" s="4"/>
      <x:c r="D47" s="3">
        <x:f t="shared" si="5"/>
      </x:c>
      <x:c r="E47" s="3">
        <x:f t="shared" si="6"/>
      </x:c>
      <x:c r="F47" s="4"/>
      <x:c r="G47" s="4"/>
      <x:c r="H47" s="5">
        <x:f t="shared" si="7"/>
      </x:c>
      <x:c r="I47" s="4"/>
      <x:c r="J47" s="4"/>
      <x:c r="K47" s="4"/>
      <x:c r="L47" s="4"/>
      <x:c r="M47" s="4"/>
      <x:c r="N47" s="4"/>
      <x:c r="O47" s="6">
        <x:f t="shared" si="8"/>
      </x:c>
      <x:c r="P47" s="6">
        <x:f t="shared" si="9"/>
      </x:c>
      <x:c r="Q47" s="2"/>
      <x:c r="R47" s="2"/>
    </x:row>
    <x:row r="48">
      <x:c r="A48" s="2"/>
      <x:c r="B48" s="4"/>
      <x:c r="C48" s="4"/>
      <x:c r="D48" s="3">
        <x:f t="shared" si="5"/>
      </x:c>
      <x:c r="E48" s="3">
        <x:f t="shared" si="6"/>
      </x:c>
      <x:c r="F48" s="4"/>
      <x:c r="G48" s="4"/>
      <x:c r="H48" s="5">
        <x:f t="shared" si="7"/>
      </x:c>
      <x:c r="I48" s="4"/>
      <x:c r="J48" s="4"/>
      <x:c r="K48" s="4"/>
      <x:c r="L48" s="4"/>
      <x:c r="M48" s="4"/>
      <x:c r="N48" s="4"/>
      <x:c r="O48" s="6">
        <x:f t="shared" si="8"/>
      </x:c>
      <x:c r="P48" s="6">
        <x:f t="shared" si="9"/>
      </x:c>
      <x:c r="Q48" s="2"/>
      <x:c r="R48" s="2"/>
    </x:row>
    <x:row r="49">
      <x:c r="A49" s="2"/>
      <x:c r="B49" s="4"/>
      <x:c r="C49" s="4"/>
      <x:c r="D49" s="3">
        <x:f t="shared" si="5"/>
      </x:c>
      <x:c r="E49" s="3">
        <x:f t="shared" si="6"/>
      </x:c>
      <x:c r="F49" s="4"/>
      <x:c r="G49" s="4"/>
      <x:c r="H49" s="5">
        <x:f t="shared" si="7"/>
      </x:c>
      <x:c r="I49" s="4"/>
      <x:c r="J49" s="4"/>
      <x:c r="K49" s="4"/>
      <x:c r="L49" s="4"/>
      <x:c r="M49" s="4"/>
      <x:c r="N49" s="4"/>
      <x:c r="O49" s="6">
        <x:f t="shared" si="8"/>
      </x:c>
      <x:c r="P49" s="6">
        <x:f t="shared" si="9"/>
      </x:c>
      <x:c r="Q49" s="2"/>
      <x:c r="R49" s="2"/>
    </x:row>
    <x:row r="50">
      <x:c r="A50" s="2"/>
      <x:c r="B50" s="4"/>
      <x:c r="C50" s="4"/>
      <x:c r="D50" s="3">
        <x:f t="shared" si="5"/>
      </x:c>
      <x:c r="E50" s="3">
        <x:f t="shared" si="6"/>
      </x:c>
      <x:c r="F50" s="4"/>
      <x:c r="G50" s="4"/>
      <x:c r="H50" s="5">
        <x:f t="shared" si="7"/>
      </x:c>
      <x:c r="I50" s="4"/>
      <x:c r="J50" s="4"/>
      <x:c r="K50" s="4"/>
      <x:c r="L50" s="4"/>
      <x:c r="M50" s="4"/>
      <x:c r="N50" s="4"/>
      <x:c r="O50" s="6">
        <x:f t="shared" si="8"/>
      </x:c>
      <x:c r="P50" s="6">
        <x:f t="shared" si="9"/>
      </x:c>
      <x:c r="Q50" s="2"/>
      <x:c r="R50" s="2"/>
    </x:row>
    <x:row r="51">
      <x:c r="A51" s="2"/>
      <x:c r="B51" s="4"/>
      <x:c r="C51" s="4"/>
      <x:c r="D51" s="3">
        <x:f t="shared" si="5"/>
      </x:c>
      <x:c r="E51" s="3">
        <x:f t="shared" si="6"/>
      </x:c>
      <x:c r="F51" s="4"/>
      <x:c r="G51" s="4"/>
      <x:c r="H51" s="5">
        <x:f t="shared" si="7"/>
      </x:c>
      <x:c r="I51" s="4"/>
      <x:c r="J51" s="4"/>
      <x:c r="K51" s="4"/>
      <x:c r="L51" s="4"/>
      <x:c r="M51" s="4"/>
      <x:c r="N51" s="4"/>
      <x:c r="O51" s="6">
        <x:f t="shared" si="8"/>
      </x:c>
      <x:c r="P51" s="6">
        <x:f t="shared" si="9"/>
      </x:c>
      <x:c r="Q51" s="2"/>
      <x:c r="R51" s="2"/>
    </x:row>
    <x:row r="52">
      <x:c r="A52" s="2"/>
      <x:c r="B52" s="4"/>
      <x:c r="C52" s="4"/>
      <x:c r="D52" s="3">
        <x:f t="shared" si="5"/>
      </x:c>
      <x:c r="E52" s="3">
        <x:f t="shared" si="6"/>
      </x:c>
      <x:c r="F52" s="4"/>
      <x:c r="G52" s="4"/>
      <x:c r="H52" s="5">
        <x:f t="shared" si="7"/>
      </x:c>
      <x:c r="I52" s="4"/>
      <x:c r="J52" s="4"/>
      <x:c r="K52" s="4"/>
      <x:c r="L52" s="4"/>
      <x:c r="M52" s="4"/>
      <x:c r="N52" s="4"/>
      <x:c r="O52" s="6">
        <x:f t="shared" si="8"/>
      </x:c>
      <x:c r="P52" s="6">
        <x:f t="shared" si="9"/>
      </x:c>
      <x:c r="Q52" s="2"/>
      <x:c r="R52" s="2"/>
    </x:row>
    <x:row r="53">
      <x:c r="A53" s="2"/>
      <x:c r="B53" s="4"/>
      <x:c r="C53" s="4"/>
      <x:c r="D53" s="3">
        <x:f t="shared" si="5"/>
      </x:c>
      <x:c r="E53" s="3">
        <x:f t="shared" si="6"/>
      </x:c>
      <x:c r="F53" s="4"/>
      <x:c r="G53" s="4"/>
      <x:c r="H53" s="5">
        <x:f t="shared" si="7"/>
      </x:c>
      <x:c r="I53" s="4"/>
      <x:c r="J53" s="4"/>
      <x:c r="K53" s="4"/>
      <x:c r="L53" s="4"/>
      <x:c r="M53" s="4"/>
      <x:c r="N53" s="4"/>
      <x:c r="O53" s="6">
        <x:f t="shared" si="8"/>
      </x:c>
      <x:c r="P53" s="6">
        <x:f t="shared" si="9"/>
      </x:c>
      <x:c r="Q53" s="2"/>
      <x:c r="R53" s="2"/>
    </x:row>
    <x:row r="54">
      <x:c r="A54" s="2"/>
      <x:c r="B54" s="4"/>
      <x:c r="C54" s="4"/>
      <x:c r="D54" s="3">
        <x:f t="shared" si="5"/>
      </x:c>
      <x:c r="E54" s="3">
        <x:f t="shared" si="6"/>
      </x:c>
      <x:c r="F54" s="4"/>
      <x:c r="G54" s="4"/>
      <x:c r="H54" s="5">
        <x:f t="shared" si="7"/>
      </x:c>
      <x:c r="I54" s="4"/>
      <x:c r="J54" s="4"/>
      <x:c r="K54" s="4"/>
      <x:c r="L54" s="4"/>
      <x:c r="M54" s="4"/>
      <x:c r="N54" s="4"/>
      <x:c r="O54" s="6">
        <x:f t="shared" si="8"/>
      </x:c>
      <x:c r="P54" s="6">
        <x:f t="shared" si="9"/>
      </x:c>
      <x:c r="Q54" s="2"/>
      <x:c r="R54" s="2"/>
    </x:row>
    <x:row r="55">
      <x:c r="A55" s="2"/>
      <x:c r="B55" s="4"/>
      <x:c r="C55" s="4"/>
      <x:c r="D55" s="3">
        <x:f t="shared" si="5"/>
      </x:c>
      <x:c r="E55" s="3">
        <x:f t="shared" si="6"/>
      </x:c>
      <x:c r="F55" s="4"/>
      <x:c r="G55" s="4"/>
      <x:c r="H55" s="5">
        <x:f t="shared" si="7"/>
      </x:c>
      <x:c r="I55" s="4"/>
      <x:c r="J55" s="4"/>
      <x:c r="K55" s="4"/>
      <x:c r="L55" s="4"/>
      <x:c r="M55" s="4"/>
      <x:c r="N55" s="4"/>
      <x:c r="O55" s="6">
        <x:f t="shared" si="8"/>
      </x:c>
      <x:c r="P55" s="6">
        <x:f t="shared" si="9"/>
      </x:c>
      <x:c r="Q55" s="2"/>
      <x:c r="R55" s="2"/>
    </x:row>
    <x:row r="56">
      <x:c r="A56" s="2"/>
      <x:c r="B56" s="4"/>
      <x:c r="C56" s="4"/>
      <x:c r="D56" s="3">
        <x:f t="shared" si="5"/>
      </x:c>
      <x:c r="E56" s="3">
        <x:f t="shared" si="6"/>
      </x:c>
      <x:c r="F56" s="4"/>
      <x:c r="G56" s="4"/>
      <x:c r="H56" s="5">
        <x:f t="shared" si="7"/>
      </x:c>
      <x:c r="I56" s="4"/>
      <x:c r="J56" s="4"/>
      <x:c r="K56" s="4"/>
      <x:c r="L56" s="4"/>
      <x:c r="M56" s="4"/>
      <x:c r="N56" s="4"/>
      <x:c r="O56" s="6">
        <x:f t="shared" si="8"/>
      </x:c>
      <x:c r="P56" s="6">
        <x:f t="shared" si="9"/>
      </x:c>
      <x:c r="Q56" s="2"/>
      <x:c r="R56" s="2"/>
    </x:row>
    <x:row r="57">
      <x:c r="A57" s="2"/>
      <x:c r="B57" s="4"/>
      <x:c r="C57" s="4"/>
      <x:c r="D57" s="3">
        <x:f t="shared" si="5"/>
      </x:c>
      <x:c r="E57" s="3">
        <x:f t="shared" si="6"/>
      </x:c>
      <x:c r="F57" s="4"/>
      <x:c r="G57" s="4"/>
      <x:c r="H57" s="5">
        <x:f t="shared" si="7"/>
      </x:c>
      <x:c r="I57" s="4"/>
      <x:c r="J57" s="4"/>
      <x:c r="K57" s="4"/>
      <x:c r="L57" s="4"/>
      <x:c r="M57" s="4"/>
      <x:c r="N57" s="4"/>
      <x:c r="O57" s="6">
        <x:f t="shared" si="8"/>
      </x:c>
      <x:c r="P57" s="6">
        <x:f t="shared" si="9"/>
      </x:c>
      <x:c r="Q57" s="2"/>
      <x:c r="R57" s="2"/>
    </x:row>
    <x:row r="58">
      <x:c r="A58" s="2"/>
      <x:c r="B58" s="4"/>
      <x:c r="C58" s="4"/>
      <x:c r="D58" s="3">
        <x:f t="shared" si="5"/>
      </x:c>
      <x:c r="E58" s="3">
        <x:f t="shared" si="6"/>
      </x:c>
      <x:c r="F58" s="4"/>
      <x:c r="G58" s="4"/>
      <x:c r="H58" s="5">
        <x:f t="shared" si="7"/>
      </x:c>
      <x:c r="I58" s="4"/>
      <x:c r="J58" s="4"/>
      <x:c r="K58" s="4"/>
      <x:c r="L58" s="4"/>
      <x:c r="M58" s="4"/>
      <x:c r="N58" s="4"/>
      <x:c r="O58" s="6">
        <x:f t="shared" si="8"/>
      </x:c>
      <x:c r="P58" s="6">
        <x:f t="shared" si="9"/>
      </x:c>
      <x:c r="Q58" s="2"/>
      <x:c r="R58" s="2"/>
    </x:row>
    <x:row r="59">
      <x:c r="A59" s="2"/>
      <x:c r="B59" s="4"/>
      <x:c r="C59" s="4"/>
      <x:c r="D59" s="3">
        <x:f t="shared" si="5"/>
      </x:c>
      <x:c r="E59" s="3">
        <x:f t="shared" si="6"/>
      </x:c>
      <x:c r="F59" s="4"/>
      <x:c r="G59" s="4"/>
      <x:c r="H59" s="5">
        <x:f t="shared" si="7"/>
      </x:c>
      <x:c r="I59" s="4"/>
      <x:c r="J59" s="4"/>
      <x:c r="K59" s="4"/>
      <x:c r="L59" s="4"/>
      <x:c r="M59" s="4"/>
      <x:c r="N59" s="4"/>
      <x:c r="O59" s="6">
        <x:f t="shared" si="8"/>
      </x:c>
      <x:c r="P59" s="6">
        <x:f t="shared" si="9"/>
      </x:c>
      <x:c r="Q59" s="2"/>
      <x:c r="R59" s="2"/>
    </x:row>
    <x:row r="60">
      <x:c r="A60" s="2"/>
      <x:c r="B60" s="4"/>
      <x:c r="C60" s="4"/>
      <x:c r="D60" s="3">
        <x:f t="shared" si="5"/>
      </x:c>
      <x:c r="E60" s="3">
        <x:f t="shared" si="6"/>
      </x:c>
      <x:c r="F60" s="4"/>
      <x:c r="G60" s="4"/>
      <x:c r="H60" s="5">
        <x:f t="shared" si="7"/>
      </x:c>
      <x:c r="I60" s="4"/>
      <x:c r="J60" s="4"/>
      <x:c r="K60" s="4"/>
      <x:c r="L60" s="4"/>
      <x:c r="M60" s="4"/>
      <x:c r="N60" s="4"/>
      <x:c r="O60" s="6">
        <x:f t="shared" si="8"/>
      </x:c>
      <x:c r="P60" s="6">
        <x:f t="shared" si="9"/>
      </x:c>
      <x:c r="Q60" s="2"/>
      <x:c r="R60" s="2"/>
    </x:row>
    <x:row r="61">
      <x:c r="A61" s="2"/>
      <x:c r="B61" s="4"/>
      <x:c r="C61" s="4"/>
      <x:c r="D61" s="3">
        <x:f t="shared" si="5"/>
      </x:c>
      <x:c r="E61" s="3">
        <x:f t="shared" si="6"/>
      </x:c>
      <x:c r="F61" s="4"/>
      <x:c r="G61" s="4"/>
      <x:c r="H61" s="5">
        <x:f t="shared" si="7"/>
      </x:c>
      <x:c r="I61" s="4"/>
      <x:c r="J61" s="4"/>
      <x:c r="K61" s="4"/>
      <x:c r="L61" s="4"/>
      <x:c r="M61" s="4"/>
      <x:c r="N61" s="4"/>
      <x:c r="O61" s="6">
        <x:f t="shared" si="8"/>
      </x:c>
      <x:c r="P61" s="6">
        <x:f t="shared" si="9"/>
      </x:c>
      <x:c r="Q61" s="2"/>
      <x:c r="R61" s="2"/>
    </x:row>
    <x:row r="62">
      <x:c r="A62" s="2"/>
      <x:c r="B62" s="4"/>
      <x:c r="C62" s="4"/>
      <x:c r="D62" s="3">
        <x:f t="shared" si="5"/>
      </x:c>
      <x:c r="E62" s="3">
        <x:f t="shared" si="6"/>
      </x:c>
      <x:c r="F62" s="4"/>
      <x:c r="G62" s="4"/>
      <x:c r="H62" s="5">
        <x:f t="shared" si="7"/>
      </x:c>
      <x:c r="I62" s="4"/>
      <x:c r="J62" s="4"/>
      <x:c r="K62" s="4"/>
      <x:c r="L62" s="4"/>
      <x:c r="M62" s="4"/>
      <x:c r="N62" s="4"/>
      <x:c r="O62" s="6">
        <x:f t="shared" si="8"/>
      </x:c>
      <x:c r="P62" s="6">
        <x:f t="shared" si="9"/>
      </x:c>
      <x:c r="Q62" s="2"/>
      <x:c r="R62" s="2"/>
    </x:row>
    <x:row r="63">
      <x:c r="A63" s="2"/>
      <x:c r="B63" s="4"/>
      <x:c r="C63" s="4"/>
      <x:c r="D63" s="3">
        <x:f t="shared" si="5"/>
      </x:c>
      <x:c r="E63" s="3">
        <x:f t="shared" si="6"/>
      </x:c>
      <x:c r="F63" s="4"/>
      <x:c r="G63" s="4"/>
      <x:c r="H63" s="5">
        <x:f t="shared" si="7"/>
      </x:c>
      <x:c r="I63" s="4"/>
      <x:c r="J63" s="4"/>
      <x:c r="K63" s="4"/>
      <x:c r="L63" s="4"/>
      <x:c r="M63" s="4"/>
      <x:c r="N63" s="4"/>
      <x:c r="O63" s="6">
        <x:f t="shared" si="8"/>
      </x:c>
      <x:c r="P63" s="6">
        <x:f t="shared" si="9"/>
      </x:c>
      <x:c r="Q63" s="2"/>
      <x:c r="R63" s="2"/>
    </x:row>
    <x:row r="64">
      <x:c r="A64" s="2"/>
      <x:c r="B64" s="4"/>
      <x:c r="C64" s="4"/>
      <x:c r="D64" s="3">
        <x:f t="shared" si="5"/>
      </x:c>
      <x:c r="E64" s="3">
        <x:f t="shared" si="6"/>
      </x:c>
      <x:c r="F64" s="4"/>
      <x:c r="G64" s="4"/>
      <x:c r="H64" s="5">
        <x:f t="shared" si="7"/>
      </x:c>
      <x:c r="I64" s="4"/>
      <x:c r="J64" s="4"/>
      <x:c r="K64" s="4"/>
      <x:c r="L64" s="4"/>
      <x:c r="M64" s="4"/>
      <x:c r="N64" s="4"/>
      <x:c r="O64" s="6">
        <x:f t="shared" si="8"/>
      </x:c>
      <x:c r="P64" s="6">
        <x:f t="shared" si="9"/>
      </x:c>
      <x:c r="Q64" s="2"/>
      <x:c r="R64" s="2"/>
    </x:row>
  </x:sheetData>
  <x:mergeCells>
    <x:mergeCell ref="A1:R1"/>
    <x:mergeCell ref="A2:R2"/>
    <x:mergeCell ref="A1:K1"/>
    <x:mergeCell ref="A2:K2"/>
  </x:mergeCells>
  <x:conditionalFormatting sqref="O5:O64">
    <x:cfRule type="expression" dxfId="1" priority="1">
      <x:formula>O5="明显疲劳风险"</x:formula>
    </x:cfRule>
    <x:cfRule type="expression" dxfId="0" priority="2">
      <x:formula>O5="可能疲劳"</x:formula>
    </x:cfRule>
  </x:conditionalFormatting>
  <x:dataValidations count="2">
    <x:dataValidation type="list" sqref="B5:B64">
      <x:formula1>"是,否"</x:formula1>
    </x:dataValidation>
    <x:dataValidation type="list" sqref="Q5:Q64">
      <x:formula1>"训练,休息,降强度训练,只做恢复/基本功"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4"/>
  <x:cols>
    <x:col min="1" max="2" width="13" customWidth="1"/>
    <x:col min="3" max="3" width="14" customWidth="1"/>
    <x:col min="4" max="7" width="11" customWidth="1"/>
    <x:col min="8" max="8" width="20" customWidth="1"/>
    <x:col min="9" max="9" width="26" customWidth="1"/>
    <x:col min="10" max="13" width="18" customWidth="1"/>
    <x:col min="14" max="14" width="20" customWidth="1"/>
    <x:col min="15" max="15" width="22" customWidth="1"/>
    <x:col min="16" max="16" width="38" customWidth="1"/>
  </x:cols>
  <x:sheetData>
    <x:row r="1" ht="20" customHeight="1">
      <x:c r="A1" s="11" t="s">
        <x:v>488</x:v>
      </x:c>
      <x:c r="B1" s="12"/>
      <x:c r="C1" s="12"/>
      <x:c r="D1" s="12"/>
      <x:c r="E1" s="12"/>
      <x:c r="F1" s="12"/>
      <x:c r="G1" s="12"/>
      <x:c r="H1" s="12"/>
      <x:c r="I1" s="12"/>
      <x:c r="J1" s="12"/>
      <x:c r="K1" s="12"/>
      <x:c r="L1" s="12"/>
      <x:c r="M1" s="12"/>
      <x:c r="N1" s="12"/>
      <x:c r="O1" s="12"/>
      <x:c r="P1" s="12"/>
    </x:row>
    <x:row r="2" ht="22.649999618530273" customHeight="1">
      <x:c r="A2" s="13" t="s">
        <x:v>489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</x:row>
    <x:row r="4">
      <x:c r="A4" s="1" t="s">
        <x:v>490</x:v>
      </x:c>
      <x:c r="B4" s="1" t="s">
        <x:v>491</x:v>
      </x:c>
      <x:c r="C4" s="1" t="s">
        <x:v>492</x:v>
      </x:c>
      <x:c r="D4" s="1" t="s">
        <x:v>493</x:v>
      </x:c>
      <x:c r="E4" s="1" t="s">
        <x:v>494</x:v>
      </x:c>
      <x:c r="F4" s="1" t="str">
        <x:v>下肢次数</x:v>
      </x:c>
      <x:c r="G4" s="1" t="s">
        <x:v>495</x:v>
      </x:c>
      <x:c r="H4" s="1" t="s">
        <x:v>496</x:v>
      </x:c>
      <x:c r="I4" s="1" t="s">
        <x:v>497</x:v>
      </x:c>
      <x:c r="J4" s="1" t="s">
        <x:v>498</x:v>
      </x:c>
      <x:c r="K4" s="1" t="s">
        <x:v>499</x:v>
      </x:c>
      <x:c r="L4" s="1" t="s">
        <x:v>500</x:v>
      </x:c>
      <x:c r="M4" s="1" t="s">
        <x:v>501</x:v>
      </x:c>
      <x:c r="N4" s="1" t="s">
        <x:v>502</x:v>
      </x:c>
      <x:c r="O4" s="1" t="s">
        <x:v>503</x:v>
      </x:c>
      <x:c r="P4" s="1" t="s">
        <x:v>504</x:v>
      </x:c>
    </x:row>
    <x:row r="5">
      <x:c r="A5" s="4"/>
      <x:c r="B5" s="4"/>
      <x:c r="C5" s="4"/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4"/>
    </x:row>
    <x:row r="6">
      <x:c r="A6" s="4"/>
      <x:c r="B6" s="4"/>
      <x:c r="C6" s="4"/>
      <x:c r="D6" s="4"/>
      <x:c r="E6" s="4"/>
      <x:c r="F6" s="4"/>
      <x:c r="G6" s="4"/>
      <x:c r="H6" s="4"/>
      <x:c r="I6" s="4"/>
      <x:c r="J6" s="4"/>
      <x:c r="K6" s="4"/>
      <x:c r="L6" s="4"/>
      <x:c r="M6" s="4"/>
      <x:c r="N6" s="4"/>
      <x:c r="O6" s="4"/>
      <x:c r="P6" s="4"/>
    </x:row>
    <x:row r="7">
      <x:c r="A7" s="4"/>
      <x:c r="B7" s="4"/>
      <x:c r="C7" s="4"/>
      <x:c r="D7" s="4"/>
      <x:c r="E7" s="4"/>
      <x:c r="F7" s="4"/>
      <x:c r="G7" s="4"/>
      <x:c r="H7" s="4"/>
      <x:c r="I7" s="4"/>
      <x:c r="J7" s="4"/>
      <x:c r="K7" s="4"/>
      <x:c r="L7" s="4"/>
      <x:c r="M7" s="4"/>
      <x:c r="N7" s="4"/>
      <x:c r="O7" s="4"/>
      <x:c r="P7" s="4"/>
    </x:row>
    <x:row r="8">
      <x:c r="A8" s="4"/>
      <x:c r="B8" s="4"/>
      <x:c r="C8" s="4"/>
      <x:c r="D8" s="4"/>
      <x:c r="E8" s="4"/>
      <x:c r="F8" s="4"/>
      <x:c r="G8" s="4"/>
      <x:c r="H8" s="4"/>
      <x:c r="I8" s="4"/>
      <x:c r="J8" s="4"/>
      <x:c r="K8" s="4"/>
      <x:c r="L8" s="4"/>
      <x:c r="M8" s="4"/>
      <x:c r="N8" s="4"/>
      <x:c r="O8" s="4"/>
      <x:c r="P8" s="4"/>
    </x:row>
    <x:row r="9">
      <x:c r="A9" s="4"/>
      <x:c r="B9" s="4"/>
      <x:c r="C9" s="4"/>
      <x:c r="D9" s="4"/>
      <x:c r="E9" s="4"/>
      <x:c r="F9" s="4"/>
      <x:c r="G9" s="4"/>
      <x:c r="H9" s="4"/>
      <x:c r="I9" s="4"/>
      <x:c r="J9" s="4"/>
      <x:c r="K9" s="4"/>
      <x:c r="L9" s="4"/>
      <x:c r="M9" s="4"/>
      <x:c r="N9" s="4"/>
      <x:c r="O9" s="4"/>
      <x:c r="P9" s="4"/>
    </x:row>
    <x:row r="10">
      <x:c r="A10" s="4"/>
      <x:c r="B10" s="4"/>
      <x:c r="C10" s="4"/>
      <x:c r="D10" s="4"/>
      <x:c r="E10" s="4"/>
      <x:c r="F10" s="4"/>
      <x:c r="G10" s="4"/>
      <x:c r="H10" s="4"/>
      <x:c r="I10" s="4"/>
      <x:c r="J10" s="4"/>
      <x:c r="K10" s="4"/>
      <x:c r="L10" s="4"/>
      <x:c r="M10" s="4"/>
      <x:c r="N10" s="4"/>
      <x:c r="O10" s="4"/>
      <x:c r="P10" s="4"/>
    </x:row>
    <x:row r="11">
      <x:c r="A11" s="4"/>
      <x:c r="B11" s="4"/>
      <x:c r="C11" s="4"/>
      <x:c r="D11" s="4"/>
      <x:c r="E11" s="4"/>
      <x:c r="F11" s="4"/>
      <x:c r="G11" s="4"/>
      <x:c r="H11" s="4"/>
      <x:c r="I11" s="4"/>
      <x:c r="J11" s="4"/>
      <x:c r="K11" s="4"/>
      <x:c r="L11" s="4"/>
      <x:c r="M11" s="4"/>
      <x:c r="N11" s="4"/>
      <x:c r="O11" s="4"/>
      <x:c r="P11" s="4"/>
    </x:row>
    <x:row r="12">
      <x:c r="A12" s="4"/>
      <x:c r="B12" s="4"/>
      <x:c r="C12" s="4"/>
      <x:c r="D12" s="4"/>
      <x:c r="E12" s="4"/>
      <x:c r="F12" s="4"/>
      <x:c r="G12" s="4"/>
      <x:c r="H12" s="4"/>
      <x:c r="I12" s="4"/>
      <x:c r="J12" s="4"/>
      <x:c r="K12" s="4"/>
      <x:c r="L12" s="4"/>
      <x:c r="M12" s="4"/>
      <x:c r="N12" s="4"/>
      <x:c r="O12" s="4"/>
      <x:c r="P12" s="4"/>
    </x:row>
    <x:row r="13">
      <x:c r="A13" s="4"/>
      <x:c r="B13" s="4"/>
      <x:c r="C13" s="4"/>
      <x:c r="D13" s="4"/>
      <x:c r="E13" s="4"/>
      <x:c r="F13" s="4"/>
      <x:c r="G13" s="4"/>
      <x:c r="H13" s="4"/>
      <x:c r="I13" s="4"/>
      <x:c r="J13" s="4"/>
      <x:c r="K13" s="4"/>
      <x:c r="L13" s="4"/>
      <x:c r="M13" s="4"/>
      <x:c r="N13" s="4"/>
      <x:c r="O13" s="4"/>
      <x:c r="P13" s="4"/>
    </x:row>
    <x:row r="14">
      <x:c r="A14" s="4"/>
      <x:c r="B14" s="4"/>
      <x:c r="C14" s="4"/>
      <x:c r="D14" s="4"/>
      <x:c r="E14" s="4"/>
      <x:c r="F14" s="4"/>
      <x:c r="G14" s="4"/>
      <x:c r="H14" s="4"/>
      <x:c r="I14" s="4"/>
      <x:c r="J14" s="4"/>
      <x:c r="K14" s="4"/>
      <x:c r="L14" s="4"/>
      <x:c r="M14" s="4"/>
      <x:c r="N14" s="4"/>
      <x:c r="O14" s="4"/>
      <x:c r="P14" s="4"/>
    </x:row>
    <x:row r="15">
      <x:c r="A15" s="4"/>
      <x:c r="B15" s="4"/>
      <x:c r="C15" s="4"/>
      <x:c r="D15" s="4"/>
      <x:c r="E15" s="4"/>
      <x:c r="F15" s="4"/>
      <x:c r="G15" s="4"/>
      <x:c r="H15" s="4"/>
      <x:c r="I15" s="4"/>
      <x:c r="J15" s="4"/>
      <x:c r="K15" s="4"/>
      <x:c r="L15" s="4"/>
      <x:c r="M15" s="4"/>
      <x:c r="N15" s="4"/>
      <x:c r="O15" s="4"/>
      <x:c r="P15" s="4"/>
    </x:row>
    <x:row r="16">
      <x:c r="A16" s="4"/>
      <x:c r="B16" s="4"/>
      <x:c r="C16" s="4"/>
      <x:c r="D16" s="4"/>
      <x:c r="E16" s="4"/>
      <x:c r="F16" s="4"/>
      <x:c r="G16" s="4"/>
      <x:c r="H16" s="4"/>
      <x:c r="I16" s="4"/>
      <x:c r="J16" s="4"/>
      <x:c r="K16" s="4"/>
      <x:c r="L16" s="4"/>
      <x:c r="M16" s="4"/>
      <x:c r="N16" s="4"/>
      <x:c r="O16" s="4"/>
      <x:c r="P16" s="4"/>
    </x:row>
    <x:row r="17">
      <x:c r="A17" s="4"/>
      <x:c r="B17" s="4"/>
      <x:c r="C17" s="4"/>
      <x:c r="D17" s="4"/>
      <x:c r="E17" s="4"/>
      <x:c r="F17" s="4"/>
      <x:c r="G17" s="4"/>
      <x:c r="H17" s="4"/>
      <x:c r="I17" s="4"/>
      <x:c r="J17" s="4"/>
      <x:c r="K17" s="4"/>
      <x:c r="L17" s="4"/>
      <x:c r="M17" s="4"/>
      <x:c r="N17" s="4"/>
      <x:c r="O17" s="4"/>
      <x:c r="P17" s="4"/>
    </x:row>
    <x:row r="18">
      <x:c r="A18" s="4"/>
      <x:c r="B18" s="4"/>
      <x:c r="C18" s="4"/>
      <x:c r="D18" s="4"/>
      <x:c r="E18" s="4"/>
      <x:c r="F18" s="4"/>
      <x:c r="G18" s="4"/>
      <x:c r="H18" s="4"/>
      <x:c r="I18" s="4"/>
      <x:c r="J18" s="4"/>
      <x:c r="K18" s="4"/>
      <x:c r="L18" s="4"/>
      <x:c r="M18" s="4"/>
      <x:c r="N18" s="4"/>
      <x:c r="O18" s="4"/>
      <x:c r="P18" s="4"/>
    </x:row>
    <x:row r="19">
      <x:c r="A19" s="4"/>
      <x:c r="B19" s="4"/>
      <x:c r="C19" s="4"/>
      <x:c r="D19" s="4"/>
      <x:c r="E19" s="4"/>
      <x:c r="F19" s="4"/>
      <x:c r="G19" s="4"/>
      <x:c r="H19" s="4"/>
      <x:c r="I19" s="4"/>
      <x:c r="J19" s="4"/>
      <x:c r="K19" s="4"/>
      <x:c r="L19" s="4"/>
      <x:c r="M19" s="4"/>
      <x:c r="N19" s="4"/>
      <x:c r="O19" s="4"/>
      <x:c r="P19" s="4"/>
    </x:row>
    <x:row r="20">
      <x:c r="A20" s="4"/>
      <x:c r="B20" s="4"/>
      <x:c r="C20" s="4"/>
      <x:c r="D20" s="4"/>
      <x:c r="E20" s="4"/>
      <x:c r="F20" s="4"/>
      <x:c r="G20" s="4"/>
      <x:c r="H20" s="4"/>
      <x:c r="I20" s="4"/>
      <x:c r="J20" s="4"/>
      <x:c r="K20" s="4"/>
      <x:c r="L20" s="4"/>
      <x:c r="M20" s="4"/>
      <x:c r="N20" s="4"/>
      <x:c r="O20" s="4"/>
      <x:c r="P20" s="4"/>
    </x:row>
    <x:row r="21">
      <x:c r="A21" s="4"/>
      <x:c r="B21" s="4"/>
      <x:c r="C21" s="4"/>
      <x:c r="D21" s="4"/>
      <x:c r="E21" s="4"/>
      <x:c r="F21" s="4"/>
      <x:c r="G21" s="4"/>
      <x:c r="H21" s="4"/>
      <x:c r="I21" s="4"/>
      <x:c r="J21" s="4"/>
      <x:c r="K21" s="4"/>
      <x:c r="L21" s="4"/>
      <x:c r="M21" s="4"/>
      <x:c r="N21" s="4"/>
      <x:c r="O21" s="4"/>
      <x:c r="P21" s="4"/>
    </x:row>
    <x:row r="22">
      <x:c r="A22" s="4"/>
      <x:c r="B22" s="4"/>
      <x:c r="C22" s="4"/>
      <x:c r="D22" s="4"/>
      <x:c r="E22" s="4"/>
      <x:c r="F22" s="4"/>
      <x:c r="G22" s="4"/>
      <x:c r="H22" s="4"/>
      <x:c r="I22" s="4"/>
      <x:c r="J22" s="4"/>
      <x:c r="K22" s="4"/>
      <x:c r="L22" s="4"/>
      <x:c r="M22" s="4"/>
      <x:c r="N22" s="4"/>
      <x:c r="O22" s="4"/>
      <x:c r="P22" s="4"/>
    </x:row>
    <x:row r="23">
      <x:c r="A23" s="4"/>
      <x:c r="B23" s="4"/>
      <x:c r="C23" s="4"/>
      <x:c r="D23" s="4"/>
      <x:c r="E23" s="4"/>
      <x:c r="F23" s="4"/>
      <x:c r="G23" s="4"/>
      <x:c r="H23" s="4"/>
      <x:c r="I23" s="4"/>
      <x:c r="J23" s="4"/>
      <x:c r="K23" s="4"/>
      <x:c r="L23" s="4"/>
      <x:c r="M23" s="4"/>
      <x:c r="N23" s="4"/>
      <x:c r="O23" s="4"/>
      <x:c r="P23" s="4"/>
    </x:row>
    <x:row r="24">
      <x:c r="A24" s="4"/>
      <x:c r="B24" s="4"/>
      <x:c r="C24" s="4"/>
      <x:c r="D24" s="4"/>
      <x:c r="E24" s="4"/>
      <x:c r="F24" s="4"/>
      <x:c r="G24" s="4"/>
      <x:c r="H24" s="4"/>
      <x:c r="I24" s="4"/>
      <x:c r="J24" s="4"/>
      <x:c r="K24" s="4"/>
      <x:c r="L24" s="4"/>
      <x:c r="M24" s="4"/>
      <x:c r="N24" s="4"/>
      <x:c r="O24" s="4"/>
      <x:c r="P24" s="4"/>
    </x:row>
  </x:sheetData>
  <x:mergeCells>
    <x:mergeCell ref="A1:P1"/>
    <x:mergeCell ref="A2:P2"/>
  </x:mergeCells>
  <x:dataValidations count="3">
    <x:dataValidation type="list" sqref="J5:J24">
      <x:formula1>"是,大部分是,否"</x:formula1>
    </x:dataValidation>
    <x:dataValidation type="list" sqref="K5:M24">
      <x:formula1>"改善,稳定,变差,数据不足"</x:formula1>
    </x:dataValidation>
    <x:dataValidation type="list" sqref="N5:O24">
      <x:formula1>"是,否,观察一轮"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4"/>
  <x:cols>
    <x:col min="1" max="1" width="10" hidden="0" customWidth="1"/>
    <x:col min="2" max="2" width="24" hidden="0" customWidth="1"/>
    <x:col min="3" max="3" width="28" hidden="0" customWidth="1"/>
    <x:col min="4" max="4" width="56" hidden="0" customWidth="1"/>
    <x:col min="5" max="6" width="36" customWidth="1"/>
    <x:col min="7" max="7" width="48" hidden="0" customWidth="1"/>
    <x:col min="8" max="8" width="16" hidden="0" customWidth="1"/>
    <x:col min="9" max="9" width="10" hidden="0" customWidth="1"/>
    <x:col min="10" max="10" width="14" hidden="0" customWidth="1"/>
    <x:col min="11" max="11" width="14" hidden="0" customWidth="1"/>
    <x:col min="5" max="5" width="38" hidden="0" customWidth="1"/>
    <x:col min="6" max="6" width="38" hidden="0" customWidth="1"/>
    <x:col min="12" max="12" width="42" hidden="0" customWidth="1"/>
    <x:col min="13" max="13" width="16" hidden="0" customWidth="1"/>
    <x:col min="14" max="14" width="36" hidden="0" customWidth="1"/>
  </x:cols>
  <x:sheetData>
    <x:row r="1" ht="20" customHeight="1">
      <x:c r="A1" s="125" t="str">
        <x:v>Official Resolution Ledger｜原视频待核验问题解决表</x:v>
      </x:c>
      <x:c r="B1" s="125"/>
      <x:c r="C1" s="125"/>
      <x:c r="D1" s="125"/>
      <x:c r="E1" s="125"/>
      <x:c r="F1" s="125"/>
      <x:c r="G1" s="125"/>
      <x:c r="H1" s="125"/>
      <x:c r="I1" s="125"/>
      <x:c r="J1" s="125"/>
      <x:c r="K1" s="125"/>
      <x:c r="L1" s="125"/>
      <x:c r="M1" s="125"/>
      <x:c r="N1" s="125"/>
    </x:row>
    <x:row r="2" ht="22.649999618530273" customHeight="1">
      <x:c r="A2" s="126" t="str">
        <x:v>优先使用凯圣王/谭成义官方三分化系列、官方动作详解和原始合集解决。只有官方证据仍不足的部分继续保留为 blocker；不使用通用健身知识补方法专属规则。</x:v>
      </x:c>
      <x:c r="B2" s="126"/>
      <x:c r="C2" s="126"/>
      <x:c r="D2" s="126"/>
      <x:c r="E2" s="126"/>
      <x:c r="F2" s="126"/>
      <x:c r="G2" s="126"/>
      <x:c r="H2" s="126"/>
      <x:c r="I2" s="126"/>
      <x:c r="J2" s="126"/>
      <x:c r="K2" s="126"/>
      <x:c r="L2" s="126"/>
      <x:c r="M2" s="126"/>
      <x:c r="N2" s="126"/>
    </x:row>
    <x:row r="4">
      <x:c r="A4" s="117" t="str">
        <x:v>ID</x:v>
      </x:c>
      <x:c r="B4" s="117" t="str">
        <x:v>对象</x:v>
      </x:c>
      <x:c r="C4" s="117" t="str">
        <x:v>原问题</x:v>
      </x:c>
      <x:c r="D4" s="117" t="str">
        <x:v>解决结论</x:v>
      </x:c>
      <x:c r="E4" s="117" t="str">
        <x:v>Canonical更新</x:v>
      </x:c>
      <x:c r="F4" s="117" t="str">
        <x:v>官方/原始依据</x:v>
      </x:c>
      <x:c r="G4" s="117" t="str">
        <x:v>官方来源URL</x:v>
      </x:c>
      <x:c r="H4" s="117" t="str">
        <x:v>仍需人工看视频?</x:v>
      </x:c>
      <x:c r="I4" s="117" t="str">
        <x:v>优先级</x:v>
      </x:c>
      <x:c r="J4" s="117" t="str">
        <x:v>状态</x:v>
      </x:c>
      <x:c r="K4" s="117" t="str">
        <x:v>是否阻塞发布</x:v>
      </x:c>
      <x:c r="L4" s="117" t="str">
        <x:v>剩余未决</x:v>
      </x:c>
      <x:c r="M4" s="117" t="str">
        <x:v>EvidenceID</x:v>
      </x:c>
      <x:c r="N4" s="117" t="str">
        <x:v>备注</x:v>
      </x:c>
    </x:row>
    <x:row r="5">
      <x:c r="A5" s="43" t="str">
        <x:v>V001</x:v>
      </x:c>
      <x:c r="B5" s="43" t="str">
        <x:v>Y字侧平举</x:v>
      </x:c>
      <x:c r="C5" s="43" t="str">
        <x:v>Y字 / 拜姿名称冲突</x:v>
      </x:c>
      <x:c r="D5" s="43" t="str">
        <x:v>Canonical统一为“Y字侧平举”。三分化计划开头明确写Y字，官方胸日跟练公开笔记在1:09:16也标注Y字，且凯圣王有独立《Y字侧平举详解》。</x:v>
      </x:c>
      <x:c r="E5" s="43" t="str">
        <x:v>03/04改名；保留3×10+10、5秒短歇、基本到极限的原方法处方。</x:v>
      </x:c>
      <x:c r="F5" s="43" t="str">
        <x:v>原始三分化合集 + 凯圣王官方跟练/动作详解</x:v>
      </x:c>
      <x:c r="G5" s="43" t="str">
        <x:v>https://www.bilibili.com/video/BV17hNXz6Exv/</x:v>
      </x:c>
      <x:c r="H5" s="43" t="str">
        <x:v>否</x:v>
      </x:c>
      <x:c r="I5" s="43" t="str">
        <x:v>P0</x:v>
      </x:c>
      <x:c r="J5" s="43" t="str">
        <x:v>已解决</x:v>
      </x:c>
      <x:c r="K5" s="43" t="str">
        <x:v>否</x:v>
      </x:c>
      <x:c r="L5" s="58" t="str">
        <x:v>无</x:v>
      </x:c>
      <x:c r="M5" s="58" t="str">
        <x:v>EV-OFF-V001</x:v>
      </x:c>
      <x:c r="N5" s="58" t="str">
        <x:v>“拜姿”不再作为Canonical名。</x:v>
      </x:c>
    </x:row>
    <x:row r="6">
      <x:c r="A6" s="43" t="str">
        <x:v>V002</x:v>
      </x:c>
      <x:c r="B6" s="43" t="str">
        <x:v>单手绳索下拉</x:v>
      </x:c>
      <x:c r="C6" s="43" t="str">
        <x:v>角度/路径依赖画面</x:v>
      </x:c>
      <x:c r="D6" s="43" t="str">
        <x:v>规则收口为：拉力方向匹配背阔肌走向；对握/略反手；减少侧屈和旋转；保持张力；官方跟练公开笔记还指出胸椎可轻微屈曲。具体几何角度作为Media示范，不编码成硬数值。</x:v>
      </x:c>
      <x:c r="E6" s="43" t="str">
        <x:v>04动作Cue更新；visual_required继续用于示范素材，但不再阻塞规则发布。</x:v>
      </x:c>
      <x:c r="F6" s="43" t="str">
        <x:v>谭成义/凯圣王官方背日跟练 + 原始合集</x:v>
      </x:c>
      <x:c r="G6" s="43" t="str">
        <x:v>https://www.bilibili.com/video/BV1v5opBhEDc/</x:v>
      </x:c>
      <x:c r="H6" s="43" t="str">
        <x:v>否</x:v>
      </x:c>
      <x:c r="I6" s="43" t="str">
        <x:v>P0</x:v>
      </x:c>
      <x:c r="J6" s="43" t="str">
        <x:v>已解决</x:v>
      </x:c>
      <x:c r="K6" s="43" t="str">
        <x:v>否</x:v>
      </x:c>
      <x:c r="L6" s="58" t="str">
        <x:v>无</x:v>
      </x:c>
      <x:c r="M6" s="58" t="str">
        <x:v>EV-OFF-V002</x:v>
      </x:c>
      <x:c r="N6" s="58" t="str">
        <x:v>不要把画面角度硬编码成ROM坐标。</x:v>
      </x:c>
    </x:row>
    <x:row r="7">
      <x:c r="A7" s="43" t="str">
        <x:v>V003</x:v>
      </x:c>
      <x:c r="B7" s="43" t="str">
        <x:v>杠铃卧推</x:v>
      </x:c>
      <x:c r="C7" s="43" t="str">
        <x:v>ROM/肩胛存在空间指代</x:v>
      </x:c>
      <x:c r="D7" s="43" t="str">
        <x:v>Canonical不设统一“必须触胸”的最低点。以肩关节舒适、躯干/肩胛稳定的个体有效幅度为准；官方胸日笔记明确提醒不要追求幅度，肩不舒服时降低幅度。</x:v>
      </x:c>
      <x:c r="E7" s="43" t="str">
        <x:v>04 ROM/停止条件更新；官方跟练/卧推开发视频可作Media。</x:v>
      </x:c>
      <x:c r="F7" s="43" t="str">
        <x:v>凯圣王官方胸日跟练 + 卧推开发详解 + 原始合集</x:v>
      </x:c>
      <x:c r="G7" s="43" t="str">
        <x:v>https://www.bilibili.com/video/BV1CSoKBaEgK</x:v>
      </x:c>
      <x:c r="H7" s="43" t="str">
        <x:v>否</x:v>
      </x:c>
      <x:c r="I7" s="43" t="str">
        <x:v>P0</x:v>
      </x:c>
      <x:c r="J7" s="43" t="str">
        <x:v>已解决</x:v>
      </x:c>
      <x:c r="K7" s="43" t="str">
        <x:v>否</x:v>
      </x:c>
      <x:c r="L7" s="58" t="str">
        <x:v>无</x:v>
      </x:c>
      <x:c r="M7" s="58" t="str">
        <x:v>EV-OFF-V003</x:v>
      </x:c>
      <x:c r="N7" s="58" t="str">
        <x:v>不将某个固定肘角/触胸位置写成方法硬规则。</x:v>
      </x:c>
    </x:row>
    <x:row r="8">
      <x:c r="A8" s="43" t="str">
        <x:v>V004</x:v>
      </x:c>
      <x:c r="B8" s="43" t="str">
        <x:v>上斜哑铃卧推</x:v>
      </x:c>
      <x:c r="C8" s="43" t="str">
        <x:v>凳角是否固定45°</x:v>
      </x:c>
      <x:c r="D8" s="43" t="str">
        <x:v>官方胸日跟练公开笔记明确“45度左右，取决于是不是起桥”。因此Canonical写“约45°，按身体与器械微调”，不固定某个器械档位。</x:v>
      </x:c>
      <x:c r="E8" s="43" t="str">
        <x:v>04 Setup更新。</x:v>
      </x:c>
      <x:c r="F8" s="43" t="str">
        <x:v>凯圣王官方胸日跟练 + 《上斜哑铃卧推详解》</x:v>
      </x:c>
      <x:c r="G8" s="43" t="str">
        <x:v>https://www.bilibili.com/video/BV1aa4y1o7XA</x:v>
      </x:c>
      <x:c r="H8" s="43" t="str">
        <x:v>否</x:v>
      </x:c>
      <x:c r="I8" s="43" t="str">
        <x:v>P1</x:v>
      </x:c>
      <x:c r="J8" s="43" t="str">
        <x:v>已解决</x:v>
      </x:c>
      <x:c r="K8" s="43" t="str">
        <x:v>否</x:v>
      </x:c>
      <x:c r="L8" s="58" t="str">
        <x:v>无</x:v>
      </x:c>
      <x:c r="M8" s="58" t="str">
        <x:v>EV-OFF-V004</x:v>
      </x:c>
      <x:c r="N8" s="58" t="str">
        <x:v>角度是范围/原则，不是精确器械档位。</x:v>
      </x:c>
    </x:row>
    <x:row r="9">
      <x:c r="A9" s="43" t="str">
        <x:v>V005</x:v>
      </x:c>
      <x:c r="B9" s="43" t="str">
        <x:v>双杠臂屈伸退阶</x:v>
      </x:c>
      <x:c r="C9" s="43" t="str">
        <x:v>跪垫+凳子支撑文字易误解</x:v>
      </x:c>
      <x:c r="D9" s="43" t="str">
        <x:v>原始合集明确描述：不会标准双杠时可跪在垫子上、撑凳子做下胸支撑模式退阶；官方胸日跟练作为示范入口。规则足够明确，Media用于帮助理解。</x:v>
      </x:c>
      <x:c r="E9" s="43" t="str">
        <x:v>04 regression状态改为生效。</x:v>
      </x:c>
      <x:c r="F9" s="43" t="str">
        <x:v>原始三分化合集 + 官方胸日跟练</x:v>
      </x:c>
      <x:c r="G9" s="43" t="str">
        <x:v>https://www.bilibili.com/video/BV1CSoKBaEgK</x:v>
      </x:c>
      <x:c r="H9" s="43" t="str">
        <x:v>否</x:v>
      </x:c>
      <x:c r="I9" s="43" t="str">
        <x:v>P0</x:v>
      </x:c>
      <x:c r="J9" s="43" t="str">
        <x:v>已解决</x:v>
      </x:c>
      <x:c r="K9" s="43" t="str">
        <x:v>否</x:v>
      </x:c>
      <x:c r="L9" s="58" t="str">
        <x:v>无</x:v>
      </x:c>
      <x:c r="M9" s="58" t="str">
        <x:v>EV-OFF-V005</x:v>
      </x:c>
      <x:c r="N9" s="58" t="str">
        <x:v>如后续自制Media，按该规则拍。</x:v>
      </x:c>
    </x:row>
    <x:row r="10">
      <x:c r="A10" s="43" t="str">
        <x:v>V006</x:v>
      </x:c>
      <x:c r="B10" s="43" t="str">
        <x:v>坐姿肩屈位绳索弯举</x:v>
      </x:c>
      <x:c r="C10" s="43" t="str">
        <x:v>钢线弯举/坐姿阿头弯举名称不稳</x:v>
      </x:c>
      <x:c r="D10" s="43" t="str">
        <x:v>动作身份收口为“坐姿肩屈位绳索弯举”：原始计划明确是钢线弯举，并在详细段落明确为肩屈位弯举。ASR昵称不作为Canonical名称。</x:v>
      </x:c>
      <x:c r="E10" s="43" t="str">
        <x:v>03/04统一动作名；名称问题关闭。</x:v>
      </x:c>
      <x:c r="F10" s="43" t="str">
        <x:v>官方三分化计划/背日跟练 + 原始合集</x:v>
      </x:c>
      <x:c r="G10" s="43" t="str">
        <x:v>https://www.bilibili.com/video/BV1v5opBhEDc/</x:v>
      </x:c>
      <x:c r="H10" s="43" t="str">
        <x:v>否</x:v>
      </x:c>
      <x:c r="I10" s="43" t="str">
        <x:v>P0</x:v>
      </x:c>
      <x:c r="J10" s="43" t="str">
        <x:v>已解决</x:v>
      </x:c>
      <x:c r="K10" s="43" t="str">
        <x:v>否</x:v>
      </x:c>
      <x:c r="L10" s="58" t="str">
        <x:v>首轮精确组次/递进仍在Q-004单独追踪</x:v>
      </x:c>
      <x:c r="M10" s="58" t="str">
        <x:v>EV-OFF-V006</x:v>
      </x:c>
      <x:c r="N10" s="58" t="str">
        <x:v>不使用通用弯举教程补方法专属处方。</x:v>
      </x:c>
    </x:row>
    <x:row r="11">
      <x:c r="A11" s="43" t="str">
        <x:v>V007</x:v>
      </x:c>
      <x:c r="B11" s="43" t="str">
        <x:v>坐姿开肘划船</x:v>
      </x:c>
      <x:c r="C11" s="43" t="str">
        <x:v>总览“上斜方”与详细段“中下斜方”冲突</x:v>
      </x:c>
      <x:c r="D11" s="43" t="str">
        <x:v>采用动作专项详细上下文：明确“这个动作是要练中下斜方肌”，并强调肩胛内收、不能抡甩。总览“上斜方”视为口述/转写冲突，不作为Canonical目标。</x:v>
      </x:c>
      <x:c r="E11" s="43" t="str">
        <x:v>03/04目标肌统一“中下斜方肌/肩胛后缩”。</x:v>
      </x:c>
      <x:c r="F11" s="43" t="str">
        <x:v>原始三分化详细段落 + 官方背日跟练</x:v>
      </x:c>
      <x:c r="G11" s="43" t="str">
        <x:v>https://www.bilibili.com/video/BV1v5opBhEDc/</x:v>
      </x:c>
      <x:c r="H11" s="43" t="str">
        <x:v>否</x:v>
      </x:c>
      <x:c r="I11" s="43" t="str">
        <x:v>P0</x:v>
      </x:c>
      <x:c r="J11" s="43" t="str">
        <x:v>已解决</x:v>
      </x:c>
      <x:c r="K11" s="43" t="str">
        <x:v>否</x:v>
      </x:c>
      <x:c r="L11" s="58" t="str">
        <x:v>无</x:v>
      </x:c>
      <x:c r="M11" s="58" t="str">
        <x:v>EV-OFF-V007</x:v>
      </x:c>
      <x:c r="N11" s="58" t="str">
        <x:v>专项执行解析优先于开头快速总览。</x:v>
      </x:c>
    </x:row>
    <x:row r="12">
      <x:c r="A12" s="43" t="str">
        <x:v>V008</x:v>
      </x:c>
      <x:c r="B12" s="43" t="str">
        <x:v>Day2动作顺序</x:v>
      </x:c>
      <x:c r="C12" s="43" t="str">
        <x:v>总览顺序与跟练口述疑似冲突</x:v>
      </x:c>
      <x:c r="D12" s="43" t="str">
        <x:v>以官方计划①明确列出的Program Template为Canonical：1单手绳索下拉 → 2对握高位下拉 → 3单手器械划船 → 4坐姿开肘划船 → 5坐姿肩屈位绳索弯举。官方背日跟练没有明确宣布替换该计划顺序。</x:v>
      </x:c>
      <x:c r="E12" s="43" t="str">
        <x:v>03 Day2顺序解除待核验。</x:v>
      </x:c>
      <x:c r="F12" s="43" t="str">
        <x:v>凯圣王官方三分化①训练计划 + ④背日跟练 + 原始合集</x:v>
      </x:c>
      <x:c r="G12" s="43" t="str">
        <x:v>https://www.bilibili.com/video/BV1FcdZBNEm3</x:v>
      </x:c>
      <x:c r="H12" s="43" t="str">
        <x:v>否</x:v>
      </x:c>
      <x:c r="I12" s="43" t="str">
        <x:v>P0</x:v>
      </x:c>
      <x:c r="J12" s="43" t="str">
        <x:v>已解决</x:v>
      </x:c>
      <x:c r="K12" s="43" t="str">
        <x:v>否</x:v>
      </x:c>
      <x:c r="L12" s="58" t="str">
        <x:v>无</x:v>
      </x:c>
      <x:c r="M12" s="58" t="str">
        <x:v>EV-OFF-V008</x:v>
      </x:c>
      <x:c r="N12" s="58" t="str">
        <x:v>跟练中口语“第二个动作”等不再推翻正式Program声明。</x:v>
      </x:c>
    </x:row>
    <x:row r="13">
      <x:c r="A13" s="43" t="str">
        <x:v>V009</x:v>
      </x:c>
      <x:c r="B13" s="43" t="str">
        <x:v>Day3处方</x:v>
      </x:c>
      <x:c r="C13" s="43" t="str">
        <x:v>下肢组次不完整</x:v>
      </x:c>
      <x:c r="D13" s="43" t="str">
        <x:v>方法真值已确认动作顺序、开发优先、前期不到力竭、后三个动作各3组及山羊挺身8次；其余字段使用显式Pawside V1产品执行默认。</x:v>
      </x:c>
      <x:c r="E13" s="43" t="str">
        <x:v>03写入字段级authority；05/12仅启用calibration-only；Strict Method Source继续开放。</x:v>
      </x:c>
      <x:c r="F13" s="43" t="str">
        <x:v>原始三分化合集 + 凯圣王官方三分化⑤腿日跟练 + P0 Resolution Patch v0.1</x:v>
      </x:c>
      <x:c r="G13" s="43" t="str">
        <x:v>https://www.bilibili.com/video/BV17aovBqEdg/</x:v>
      </x:c>
      <x:c r="H13" s="43" t="str">
        <x:v>是</x:v>
      </x:c>
      <x:c r="I13" s="43" t="str">
        <x:v>P0</x:v>
      </x:c>
      <x:c r="J13" s="43" t="str">
        <x:v>Runtime已解决 / Strict Source仍开放</x:v>
      </x:c>
      <x:c r="K13" s="43" t="str">
        <x:v>V1 Runtime=否；Strict Method=是</x:v>
      </x:c>
      <x:c r="L13" s="58" t="str">
        <x:v>首两个动作组次及前蹲/RDL精确次数仍待更完整官方Source</x:v>
      </x:c>
      <x:c r="M13" s="58" t="str">
        <x:v>EV-OFF-V009;EV-P0-DAY3-DEFAULT</x:v>
      </x:c>
      <x:c r="N13" s="58" t="str">
        <x:v>产品默认不得升级为method_explicit。</x:v>
      </x:c>
    </x:row>
    <x:row r="14">
      <x:c r="A14" s="43" t="str">
        <x:v>V010</x:v>
      </x:c>
      <x:c r="B14" s="43" t="str">
        <x:v>热身/家庭基本功</x:v>
      </x:c>
      <x:c r="C14" s="43" t="str">
        <x:v>模块边界不清</x:v>
      </x:c>
      <x:c r="D14" s="43" t="str">
        <x:v>模块边界已解决：原始合集明确把“所有热身环节 + 家庭基本功训练”作为独立训练前Protocol；官方胸/背/腿跟练均包含热身内容，凯圣王另有深蹲热身详解。Warm-up应作为独立Library被Split引用，而不是混入Progression。</x:v>
      </x:c>
      <x:c r="E14" s="43" t="str">
        <x:v>Spec/Workbook按Warm-up Library建模；视频核验不再用于决定模块边界。</x:v>
      </x:c>
      <x:c r="F14" s="43" t="str">
        <x:v>原始三分化合集 + 官方三分化跟练 + 凯圣王《深蹲热身详解》</x:v>
      </x:c>
      <x:c r="G14" s="43" t="str">
        <x:v>https://www.bilibili.com/video/BV18J4m1878Q/</x:v>
      </x:c>
      <x:c r="H14" s="43" t="str">
        <x:v>否</x:v>
      </x:c>
      <x:c r="I14" s="43" t="str">
        <x:v>P0</x:v>
      </x:c>
      <x:c r="J14" s="43" t="str">
        <x:v>已解决</x:v>
      </x:c>
      <x:c r="K14" s="43" t="str">
        <x:v>否</x:v>
      </x:c>
      <x:c r="L14" s="58" t="str">
        <x:v>三天完整热身动作/次数的结构化录入仍在Q-006追踪，但不再是架构未决</x:v>
      </x:c>
      <x:c r="M14" s="58" t="str">
        <x:v>EV-OFF-V010</x:v>
      </x:c>
      <x:c r="N14" s="58" t="str">
        <x:v>边界解决；内容结构化是后续Canonical补全任务。</x:v>
      </x:c>
    </x:row>
  </x:sheetData>
  <x:mergeCells>
    <x:mergeCell ref="A1:K1"/>
    <x:mergeCell ref="A2:K2"/>
    <x:mergeCell ref="A1:N1"/>
    <x:mergeCell ref="A2:N2"/>
  </x:mergeCells>
  <x:conditionalFormatting sqref="I5:I200">
    <x:cfRule type="expression" dxfId="15" priority="1">
      <x:formula>$I5="待核验"</x:formula>
    </x:cfRule>
  </x:conditionalFormatting>
  <x:conditionalFormatting sqref="H5:H200">
    <x:cfRule type="expression" dxfId="16" priority="2">
      <x:formula>$H5="P0"</x:formula>
    </x:cfRule>
  </x:conditionalFormatting>
  <x:conditionalFormatting sqref="J5:J30">
    <x:cfRule type="expression" dxfId="17" priority="3">
      <x:formula>$J5="已解决"</x:formula>
    </x:cfRule>
    <x:cfRule type="expression" dxfId="18" priority="4">
      <x:formula>$J5="部分解决"</x:formula>
    </x:cfRule>
  </x:conditionalFormatting>
  <x:conditionalFormatting sqref="K5:K30">
    <x:cfRule type="expression" dxfId="19" priority="5">
      <x:formula>$K5="是"</x:formula>
    </x:cfRule>
  </x:conditionalFormatting>
  <x:dataValidations count="1">
    <x:dataValidation type="list" sqref="I5:I14">
      <x:formula1>"待核验,已确认,无需确认,无法确认"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4"/>
  <x:cols>
    <x:col min="1" max="1" width="18" hidden="0" customWidth="1"/>
    <x:col min="2" max="2" width="38" hidden="0" customWidth="1"/>
    <x:col min="3" max="3" width="32" hidden="0" customWidth="1"/>
    <x:col min="4" max="4" width="18" hidden="0" customWidth="1"/>
    <x:col min="5" max="5" width="14" hidden="0" customWidth="1"/>
    <x:col min="6" max="6" width="32" hidden="0" customWidth="1"/>
    <x:col min="7" max="7" width="20" hidden="0" customWidth="1"/>
    <x:col min="8" max="8" width="12" hidden="0" customWidth="1"/>
  </x:cols>
  <x:sheetData>
    <x:row r="1" ht="28" customHeight="1">
      <x:c r="A1" s="81" t="str">
        <x:v>字段枚举 / 前端中文词典</x:v>
      </x:c>
      <x:c r="B1" s="81"/>
      <x:c r="C1" s="81"/>
      <x:c r="D1" s="81"/>
      <x:c r="E1" s="81"/>
      <x:c r="F1" s="81"/>
      <x:c r="G1" s="81"/>
      <x:c r="H1" s="81"/>
    </x:row>
    <x:row r="2" ht="28" customHeight="1">
      <x:c r="A2" s="34" t="str">
        <x:v>用户侧统一中文；内部仍可使用稳定英文key。这里是枚举契约，不是方法规则本体。</x:v>
      </x:c>
      <x:c r="B2" s="34"/>
      <x:c r="C2" s="34"/>
      <x:c r="D2" s="34"/>
      <x:c r="E2" s="34"/>
      <x:c r="F2" s="34"/>
      <x:c r="G2" s="34"/>
      <x:c r="H2" s="34"/>
    </x:row>
    <x:row r="3" ht="28" customHeight="1"/>
    <x:row r="4" ht="28" customHeight="1">
      <x:c r="A4" s="44" t="str">
        <x:v>业务概念</x:v>
      </x:c>
      <x:c r="B4" s="44" t="str">
        <x:v>用户中文</x:v>
      </x:c>
      <x:c r="C4" s="44" t="str">
        <x:v>内部Key/值</x:v>
      </x:c>
      <x:c r="D4" s="44" t="str">
        <x:v>用户控件</x:v>
      </x:c>
      <x:c r="E4" s="44" t="str">
        <x:v>是否用户必见</x:v>
      </x:c>
      <x:c r="F4" s="44" t="str">
        <x:v>默认/说明</x:v>
      </x:c>
      <x:c r="G4" s="44" t="str">
        <x:v>来源类型</x:v>
      </x:c>
      <x:c r="H4" s="44" t="str">
        <x:v>状态</x:v>
      </x:c>
    </x:row>
    <x:row r="5">
      <x:c r="A5" s="43" t="str">
        <x:v>训练日</x:v>
      </x:c>
      <x:c r="B5" s="43" t="str">
        <x:v>推 / 拉 / 下肢 / 休息</x:v>
      </x:c>
      <x:c r="C5" s="43" t="str">
        <x:v>push / pull / legs / rest</x:v>
      </x:c>
      <x:c r="D5" s="43" t="str">
        <x:v>状态卡</x:v>
      </x:c>
      <x:c r="E5" s="43" t="str">
        <x:v>是</x:v>
      </x:c>
      <x:c r="F5" s="43" t="str">
        <x:v>按训练循环，不按星期</x:v>
      </x:c>
      <x:c r="G5" s="88" t="str">
        <x:v>产品文案</x:v>
      </x:c>
      <x:c r="H5" s="88" t="str">
        <x:v>生效</x:v>
      </x:c>
    </x:row>
    <x:row r="6">
      <x:c r="A6" s="43" t="str">
        <x:v>剩余次数</x:v>
      </x:c>
      <x:c r="B6" s="43" t="str">
        <x:v>还能再做几次</x:v>
      </x:c>
      <x:c r="C6" s="43" t="str">
        <x:v>4_plus / 3 / 2 / 1 / 0</x:v>
      </x:c>
      <x:c r="D6" s="43" t="str">
        <x:v>五段按钮</x:v>
      </x:c>
      <x:c r="E6" s="43" t="str">
        <x:v>是</x:v>
      </x:c>
      <x:c r="F6" s="43" t="str">
        <x:v>主输入；0=已到极限</x:v>
      </x:c>
      <x:c r="G6" s="88" t="str">
        <x:v>产品决策+方法映射</x:v>
      </x:c>
      <x:c r="H6" s="88" t="str">
        <x:v>生效</x:v>
      </x:c>
    </x:row>
    <x:row r="7">
      <x:c r="A7" s="43" t="str">
        <x:v>RPE</x:v>
      </x:c>
      <x:c r="B7" s="43" t="str">
        <x:v>内部训练强度映射</x:v>
      </x:c>
      <x:c r="C7" s="43" t="str">
        <x:v>1-10</x:v>
      </x:c>
      <x:c r="D7" s="43" t="str">
        <x:v>默认不直接展示</x:v>
      </x:c>
      <x:c r="E7" s="43" t="str">
        <x:v>否</x:v>
      </x:c>
      <x:c r="F7" s="43" t="str">
        <x:v>方法证据/兼容字段</x:v>
      </x:c>
      <x:c r="G7" s="88" t="str">
        <x:v>方法原文</x:v>
      </x:c>
      <x:c r="H7" s="88" t="str">
        <x:v>生效</x:v>
      </x:c>
    </x:row>
    <x:row r="8">
      <x:c r="A8" s="43" t="str">
        <x:v>动作异常</x:v>
      </x:c>
      <x:c r="B8" s="43" t="str">
        <x:v>动作有点变形 / 有明显不适 / 其他</x:v>
      </x:c>
      <x:c r="C8" s="43" t="str">
        <x:v>form_break / discomfort / other</x:v>
      </x:c>
      <x:c r="D8" s="43" t="str">
        <x:v>异常入口</x:v>
      </x:c>
      <x:c r="E8" s="43" t="str">
        <x:v>按需</x:v>
      </x:c>
      <x:c r="F8" s="43" t="str">
        <x:v>未报告异常≠自动优秀</x:v>
      </x:c>
      <x:c r="G8" s="88" t="str">
        <x:v>产品策略</x:v>
      </x:c>
      <x:c r="H8" s="88" t="str">
        <x:v>生效</x:v>
      </x:c>
    </x:row>
    <x:row r="9">
      <x:c r="A9" s="43" t="str">
        <x:v>跳过原因</x:v>
      </x:c>
      <x:c r="B9" s="43" t="str">
        <x:v>器械暂不可用 / 状态不适合 / 有明显不适 / 时间不够 / 其他</x:v>
      </x:c>
      <x:c r="C9" s="43" t="str">
        <x:v>equipment / readiness / discomfort / time / other</x:v>
      </x:c>
      <x:c r="D9" s="43" t="str">
        <x:v>单选</x:v>
      </x:c>
      <x:c r="E9" s="43" t="str">
        <x:v>按需</x:v>
      </x:c>
      <x:c r="F9" s="43" t="str">
        <x:v>跳过默认保持进阶状态</x:v>
      </x:c>
      <x:c r="G9" s="88" t="str">
        <x:v>产品策略</x:v>
      </x:c>
      <x:c r="H9" s="88" t="str">
        <x:v>生效</x:v>
      </x:c>
    </x:row>
    <x:row r="10">
      <x:c r="A10" s="43" t="str">
        <x:v>恢复睡眠</x:v>
      </x:c>
      <x:c r="B10" s="43" t="str">
        <x:v>差 / 一般 / 不错</x:v>
      </x:c>
      <x:c r="C10" s="43" t="str">
        <x:v>poor / fair / good</x:v>
      </x:c>
      <x:c r="D10" s="43" t="str">
        <x:v>三段按钮</x:v>
      </x:c>
      <x:c r="E10" s="43" t="str">
        <x:v>触发时</x:v>
      </x:c>
      <x:c r="F10" s="43" t="str">
        <x:v>不是每天强制</x:v>
      </x:c>
      <x:c r="G10" s="88" t="str">
        <x:v>产品策略</x:v>
      </x:c>
      <x:c r="H10" s="88" t="str">
        <x:v>生效</x:v>
      </x:c>
    </x:row>
    <x:row r="11">
      <x:c r="A11" s="43" t="str">
        <x:v>整体疲劳</x:v>
      </x:c>
      <x:c r="B11" s="43" t="str">
        <x:v>很累 / 一般 / 状态不错</x:v>
      </x:c>
      <x:c r="C11" s="43" t="str">
        <x:v>high / medium / low</x:v>
      </x:c>
      <x:c r="D11" s="43" t="str">
        <x:v>三段按钮</x:v>
      </x:c>
      <x:c r="E11" s="43" t="str">
        <x:v>触发时</x:v>
      </x:c>
      <x:c r="F11" s="43" t="str">
        <x:v>不是每天强制</x:v>
      </x:c>
      <x:c r="G11" s="88" t="str">
        <x:v>产品策略</x:v>
      </x:c>
      <x:c r="H11" s="88" t="str">
        <x:v>生效</x:v>
      </x:c>
    </x:row>
    <x:row r="12">
      <x:c r="A12" s="43" t="str">
        <x:v>明显不适</x:v>
      </x:c>
      <x:c r="B12" s="43" t="str">
        <x:v>没有 / 有</x:v>
      </x:c>
      <x:c r="C12" s="43" t="str">
        <x:v>none / present</x:v>
      </x:c>
      <x:c r="D12" s="43" t="str">
        <x:v>二段按钮</x:v>
      </x:c>
      <x:c r="E12" s="43" t="str">
        <x:v>触发时</x:v>
      </x:c>
      <x:c r="F12" s="43" t="str">
        <x:v>有则进入安全/适应逻辑</x:v>
      </x:c>
      <x:c r="G12" s="88" t="str">
        <x:v>产品策略</x:v>
      </x:c>
      <x:c r="H12" s="88" t="str">
        <x:v>生效</x:v>
      </x:c>
    </x:row>
    <x:row r="13">
      <x:c r="A13" s="43" t="str">
        <x:v>恢复判断</x:v>
      </x:c>
      <x:c r="B13" s="43" t="str">
        <x:v>适合训练 / 注意状态 / 建议休息 / 数据不足</x:v>
      </x:c>
      <x:c r="C13" s="43" t="str">
        <x:v>ready / caution / rest_recommended / insufficient_data</x:v>
      </x:c>
      <x:c r="D13" s="43" t="str">
        <x:v>系统状态</x:v>
      </x:c>
      <x:c r="E13" s="43" t="str">
        <x:v>是</x:v>
      </x:c>
      <x:c r="F13" s="43" t="str">
        <x:v>非医学诊断</x:v>
      </x:c>
      <x:c r="G13" s="88" t="str">
        <x:v>规则派生</x:v>
      </x:c>
      <x:c r="H13" s="88" t="str">
        <x:v>生效</x:v>
      </x:c>
    </x:row>
    <x:row r="14">
      <x:c r="A14" s="43" t="str">
        <x:v>进阶判断</x:v>
      </x:c>
      <x:c r="B14" s="43" t="str">
        <x:v>进入下一阶段 / 保持 / 回退 / 重复 / 数据不足</x:v>
      </x:c>
      <x:c r="C14" s="43" t="str">
        <x:v>progress / maintain / regress / repeat / more_data</x:v>
      </x:c>
      <x:c r="D14" s="43" t="str">
        <x:v>系统状态</x:v>
      </x:c>
      <x:c r="E14" s="43" t="str">
        <x:v>按需</x:v>
      </x:c>
      <x:c r="F14" s="43" t="str">
        <x:v>方法状态机输出</x:v>
      </x:c>
      <x:c r="G14" s="88" t="str">
        <x:v>规则派生</x:v>
      </x:c>
      <x:c r="H14" s="88" t="str">
        <x:v>生效</x:v>
      </x:c>
    </x:row>
    <x:row r="15">
      <x:c r="A15" s="43" t="str">
        <x:v>适应模式</x:v>
      </x:c>
      <x:c r="B15" s="43" t="str">
        <x:v>正常 / 重新找重量 / 降低负重 / 减少训练量 / 不适调整 / 恢复优先</x:v>
      </x:c>
      <x:c r="C15" s="43" t="str">
        <x:v>normal / recalibration / reduced_load / reduced_volume / pain_modified / recovery_focus</x:v>
      </x:c>
      <x:c r="D15" s="43" t="str">
        <x:v>系统状态</x:v>
      </x:c>
      <x:c r="E15" s="43" t="str">
        <x:v>按需</x:v>
      </x:c>
      <x:c r="F15" s="43" t="str">
        <x:v>Coach Adaptation</x:v>
      </x:c>
      <x:c r="G15" s="88" t="str">
        <x:v>产品策略</x:v>
      </x:c>
      <x:c r="H15" s="88" t="str">
        <x:v>生效</x:v>
      </x:c>
    </x:row>
    <x:row r="16">
      <x:c r="A16" s="88" t="str">
        <x:v>规则来源</x:v>
      </x:c>
      <x:c r="B16" s="88" t="str">
        <x:v>方法原文明示 / 方法原文推导 / 产品适应策略 / 用户确认 / 待确认</x:v>
      </x:c>
      <x:c r="C16" s="88" t="str">
        <x:v>method_explicit / method_inferred / product_policy / user_confirmed / unresolved</x:v>
      </x:c>
      <x:c r="D16" s="88" t="str">
        <x:v>后台标签</x:v>
      </x:c>
      <x:c r="E16" s="88" t="str">
        <x:v>否</x:v>
      </x:c>
      <x:c r="F16" s="88" t="str">
        <x:v>禁止混淆权威层级</x:v>
      </x:c>
      <x:c r="G16" s="88" t="str">
        <x:v>治理</x:v>
      </x:c>
      <x:c r="H16" s="88" t="str">
        <x:v>生效</x:v>
      </x:c>
    </x:row>
    <x:row r="17">
      <x:c r="A17" s="88" t="str">
        <x:v>规则权威</x:v>
      </x:c>
      <x:c r="B17" s="88" t="str">
        <x:v>方法真值 / 适应策略 / UI表现 / 历史验证 / 测试模板</x:v>
      </x:c>
      <x:c r="C17" s="88" t="str">
        <x:v>method_truth / adaptation_policy / ui / historical / fixture</x:v>
      </x:c>
      <x:c r="D17" s="88" t="str">
        <x:v>后台标签</x:v>
      </x:c>
      <x:c r="E17" s="88" t="str">
        <x:v>否</x:v>
      </x:c>
      <x:c r="F17" s="88" t="str">
        <x:v>决定是否可导入</x:v>
      </x:c>
      <x:c r="G17" s="88" t="str">
        <x:v>治理</x:v>
      </x:c>
      <x:c r="H17" s="88" t="str">
        <x:v>生效</x:v>
      </x:c>
    </x:row>
    <x:row r="18">
      <x:c r="A18" s="88" t="str">
        <x:v>Canonical状态</x:v>
      </x:c>
      <x:c r="B18" s="88" t="str">
        <x:v>生效 / 待确认 / 待补证据 / 不导入 / 归档</x:v>
      </x:c>
      <x:c r="C18" s="88" t="str">
        <x:v>active / pending / evidence_needed / no_import / archived</x:v>
      </x:c>
      <x:c r="D18" s="88" t="str">
        <x:v>后台标签</x:v>
      </x:c>
      <x:c r="E18" s="88" t="str">
        <x:v>否</x:v>
      </x:c>
      <x:c r="F18" s="88" t="str">
        <x:v>Importer只允许生效行进入active release</x:v>
      </x:c>
      <x:c r="G18" s="88" t="str">
        <x:v>治理</x:v>
      </x:c>
      <x:c r="H18" s="88" t="str">
        <x:v>生效</x:v>
      </x:c>
    </x:row>
  </x:sheetData>
  <x:mergeCells>
    <x:mergeCell ref="A1:F1"/>
    <x:mergeCell ref="A2:F2"/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714f0adc484d447c"/>
  </x:tableParts>
</x:worksheet>
</file>

<file path=xl/worksheets/sheet12.xml><?xml version="1.0" encoding="utf-8"?>
<x:worksheet xmlns:x="http://schemas.openxmlformats.org/spreadsheetml/2006/main">
  <x:sheetFormatPr defaultRowHeight="14"/>
  <x:cols>
    <x:col min="1" max="1" width="18" hidden="0" customWidth="1"/>
    <x:col min="2" max="2" width="44" hidden="0" customWidth="1"/>
    <x:col min="3" max="4" width="36" customWidth="1"/>
    <x:col min="5" max="5" width="40" hidden="0" customWidth="1"/>
    <x:col min="6" max="6" width="28" hidden="0" customWidth="1"/>
    <x:col min="7" max="7" width="18" hidden="0" customWidth="1"/>
    <x:col min="3" max="3" width="20" hidden="0" customWidth="1"/>
    <x:col min="4" max="4" width="22" hidden="0" customWidth="1"/>
    <x:col min="8" max="8" width="34" hidden="0" customWidth="1"/>
    <x:col min="9" max="9" width="40" hidden="0" customWidth="1"/>
  </x:cols>
  <x:sheetData>
    <x:row r="1" ht="28" customHeight="1">
      <x:c r="A1" s="81" t="str">
        <x:v>Source Registry｜来源资产与权威角色</x:v>
      </x:c>
      <x:c r="B1" s="81"/>
      <x:c r="C1" s="81"/>
      <x:c r="D1" s="81"/>
      <x:c r="E1" s="81"/>
      <x:c r="F1" s="81"/>
      <x:c r="G1" s="81"/>
      <x:c r="H1" s="81"/>
      <x:c r="I1" s="81"/>
    </x:row>
    <x:row r="2" ht="28" customHeight="1">
      <x:c r="A2" s="34" t="str">
        <x:v>每个来源先定义“能证明什么、不能证明什么”，再进入系统。</x:v>
      </x:c>
      <x:c r="B2" s="34"/>
      <x:c r="C2" s="34"/>
      <x:c r="D2" s="34"/>
      <x:c r="E2" s="34"/>
      <x:c r="F2" s="34"/>
      <x:c r="G2" s="34"/>
      <x:c r="H2" s="34"/>
      <x:c r="I2" s="34"/>
    </x:row>
    <x:row r="3" ht="28" customHeight="1"/>
    <x:row r="4" ht="28" customHeight="1">
      <x:c r="A4" s="44" t="str">
        <x:v>SourceID</x:v>
      </x:c>
      <x:c r="B4" s="44" t="str">
        <x:v>来源资产</x:v>
      </x:c>
      <x:c r="C4" s="44" t="str">
        <x:v>来源类型</x:v>
      </x:c>
      <x:c r="D4" s="44" t="str">
        <x:v>权威角色</x:v>
      </x:c>
      <x:c r="E4" s="44" t="str">
        <x:v>进入系统方式</x:v>
      </x:c>
      <x:c r="F4" s="44" t="str">
        <x:v>版本/Checksum要求</x:v>
      </x:c>
      <x:c r="G4" s="44" t="str">
        <x:v>运行时是否直接读取</x:v>
      </x:c>
      <x:c r="H4" s="44" t="str">
        <x:v>主要用途</x:v>
      </x:c>
      <x:c r="I4" s="44" t="str">
        <x:v>限制/注意</x:v>
      </x:c>
    </x:row>
    <x:row r="5" ht="25">
      <x:c r="A5" s="43" t="str">
        <x:v>SRC-METHOD-TXT</x:v>
      </x:c>
      <x:c r="B5" s="43" t="str">
        <x:v>【凯圣王】—凯圣王-谭成义三分化合集—【2026-04-24】-中文.txt</x:v>
      </x:c>
      <x:c r="C5" s="43" t="str">
        <x:v>原始方法Source</x:v>
      </x:c>
      <x:c r="D5" s="43" t="str">
        <x:v>方法证据</x:v>
      </x:c>
      <x:c r="E5" s="43" t="str">
        <x:v>上传/登记→method_source_documents→语义切片</x:v>
      </x:c>
      <x:c r="F5" s="43" t="str">
        <x:v>必须保存source_version+checksum</x:v>
      </x:c>
      <x:c r="G5" s="43" t="str">
        <x:v>否</x:v>
      </x:c>
      <x:c r="H5" s="88" t="str">
        <x:v>方法证据/RAG/人工核验</x:v>
      </x:c>
      <x:c r="I5" s="88" t="str">
        <x:v>ASR错误、空间指代、无稳定时间戳</x:v>
      </x:c>
    </x:row>
    <x:row r="6">
      <x:c r="A6" s="43" t="str">
        <x:v>SRC-TRACKING-V2</x:v>
      </x:c>
      <x:c r="B6" s="43" t="str">
        <x:v>旧用户确认版Tracking Excel</x:v>
      </x:c>
      <x:c r="C6" s="43" t="str">
        <x:v>历史验证资产</x:v>
      </x:c>
      <x:c r="D6" s="43" t="str">
        <x:v>历史审核/字段验证</x:v>
      </x:c>
      <x:c r="E6" s="43" t="str">
        <x:v>保留归档，不直接导入runtime</x:v>
      </x:c>
      <x:c r="F6" s="43" t="str">
        <x:v>保留原文件checksum</x:v>
      </x:c>
      <x:c r="G6" s="43" t="str">
        <x:v>否</x:v>
      </x:c>
      <x:c r="H6" s="88" t="str">
        <x:v>追溯已有字段设计和用户验证</x:v>
      </x:c>
      <x:c r="I6" s="88" t="str">
        <x:v>旧RPE/恢复交互已被2.0部分重构</x:v>
      </x:c>
    </x:row>
    <x:row r="7">
      <x:c r="A7" s="43" t="str">
        <x:v>SRC-PRD-2</x:v>
      </x:c>
      <x:c r="B7" s="43" t="str">
        <x:v>Pawside_2.0_Overview_PRD</x:v>
      </x:c>
      <x:c r="C7" s="43" t="str">
        <x:v>产品Source of Truth</x:v>
      </x:c>
      <x:c r="D7" s="43" t="str">
        <x:v>产品行为真值</x:v>
      </x:c>
      <x:c r="E7" s="43" t="str">
        <x:v>repo docs/product</x:v>
      </x:c>
      <x:c r="F7" s="43" t="str">
        <x:v>版本化</x:v>
      </x:c>
      <x:c r="G7" s="43" t="str">
        <x:v>否</x:v>
      </x:c>
      <x:c r="H7" s="88" t="str">
        <x:v>页面/用户流程/能力边界</x:v>
      </x:c>
      <x:c r="I7" s="88" t="str">
        <x:v>不直接生成方法事实</x:v>
      </x:c>
    </x:row>
    <x:row r="8">
      <x:c r="A8" s="43" t="str">
        <x:v>SRC-SPEC-2</x:v>
      </x:c>
      <x:c r="B8" s="43" t="str">
        <x:v>Pawside_2.0_System_Spec</x:v>
      </x:c>
      <x:c r="C8" s="43" t="str">
        <x:v>系统Source of Truth</x:v>
      </x:c>
      <x:c r="D8" s="43" t="str">
        <x:v>数据/API/系统契约</x:v>
      </x:c>
      <x:c r="E8" s="43" t="str">
        <x:v>repo docs/system</x:v>
      </x:c>
      <x:c r="F8" s="43" t="str">
        <x:v>版本化</x:v>
      </x:c>
      <x:c r="G8" s="43" t="str">
        <x:v>否</x:v>
      </x:c>
      <x:c r="H8" s="88" t="str">
        <x:v>DB/API/状态机/数据血缘</x:v>
      </x:c>
      <x:c r="I8" s="88" t="str">
        <x:v>不得覆盖方法证据</x:v>
      </x:c>
    </x:row>
    <x:row r="9">
      <x:c r="A9" s="88" t="str">
        <x:v>SRC-ADAPT</x:v>
      </x:c>
      <x:c r="B9" s="88" t="str">
        <x:v>Adaptive Coaching + Method Knowledge Patch</x:v>
      </x:c>
      <x:c r="C9" s="88" t="str">
        <x:v>产品策略</x:v>
      </x:c>
      <x:c r="D9" s="88" t="str">
        <x:v>适应策略Source</x:v>
      </x:c>
      <x:c r="E9" s="88" t="str">
        <x:v>合并入PRD/Spec后归档Patch</x:v>
      </x:c>
      <x:c r="F9" s="88" t="str">
        <x:v>版本化</x:v>
      </x:c>
      <x:c r="G9" s="88" t="str">
        <x:v>否</x:v>
      </x:c>
      <x:c r="H9" s="88" t="str">
        <x:v>偏离计划/中断/不适/Coaching策略</x:v>
      </x:c>
      <x:c r="I9" s="88" t="str">
        <x:v>产品策略必须与方法真值分开</x:v>
      </x:c>
    </x:row>
    <x:row r="10">
      <x:c r="A10" s="88" t="str">
        <x:v>SRC-CANONICAL</x:v>
      </x:c>
      <x:c r="B10" s="88" t="str">
        <x:v>本Canonical Method Workbook</x:v>
      </x:c>
      <x:c r="C10" s="88" t="str">
        <x:v>人工审核层</x:v>
      </x:c>
      <x:c r="D10" s="88" t="str">
        <x:v>Canonical editorial truth</x:v>
      </x:c>
      <x:c r="E10" s="88" t="str">
        <x:v>Importer唯一Excel输入</x:v>
      </x:c>
      <x:c r="F10" s="88" t="str">
        <x:v>workbook_version+checksum</x:v>
      </x:c>
      <x:c r="G10" s="88" t="str">
        <x:v>否</x:v>
      </x:c>
      <x:c r="H10" s="88" t="str">
        <x:v>确认规则/证据/映射/发布</x:v>
      </x:c>
      <x:c r="I10" s="88" t="str">
        <x:v>生产App绝不运行时解析</x:v>
      </x:c>
    </x:row>
    <x:row r="11">
      <x:c r="A11" s="88" t="str">
        <x:v>SRC-WORKOUT-GUIDE</x:v>
      </x:c>
      <x:c r="B11" s="88" t="str">
        <x:v>bryllim/workout-guide</x:v>
      </x:c>
      <x:c r="C11" s="88" t="str">
        <x:v>外部动作素材</x:v>
      </x:c>
      <x:c r="D11" s="88" t="str">
        <x:v>Media provider</x:v>
      </x:c>
      <x:c r="E11" s="88" t="str">
        <x:v>人工确认mapping→exercise_media</x:v>
      </x:c>
      <x:c r="F11" s="88" t="str">
        <x:v>provider version+license+attribution</x:v>
      </x:c>
      <x:c r="G11" s="88" t="str">
        <x:v>否</x:v>
      </x:c>
      <x:c r="H11" s="88" t="str">
        <x:v>动作图像</x:v>
      </x:c>
      <x:c r="I11" s="88" t="str">
        <x:v>https://github.com/bryllim/workout-guide；只作为动作素材Provider，不提供方法规则。</x:v>
      </x:c>
    </x:row>
    <x:row r="12">
      <x:c r="A12" t="str">
        <x:v>SRC-OFFICIAL-PLAN</x:v>
      </x:c>
      <x:c r="B12" t="str">
        <x:v>https://www.bilibili.com/video/BV1FcdZBNEm3</x:v>
      </x:c>
      <x:c r="C12" t="str">
        <x:v>官方视频</x:v>
      </x:c>
      <x:c r="D12" t="str">
        <x:v>方法证据</x:v>
      </x:c>
      <x:c r="E12" t="str">
        <x:v>登记→method_source_documents(official_video)→Evidence</x:v>
      </x:c>
      <x:c r="F12" t="str">
        <x:v>保存URL+BVID+source_version/checksum/抓取时间</x:v>
      </x:c>
      <x:c r="G12" t="str">
        <x:v>否</x:v>
      </x:c>
      <x:c r="H12" t="str">
        <x:v>三分化正式Program顺序</x:v>
      </x:c>
      <x:c r="I12" t="str">
        <x:v>官方创作者凯圣王</x:v>
      </x:c>
    </x:row>
    <x:row r="13">
      <x:c r="A13" t="str">
        <x:v>SRC-OFFICIAL-CHEST</x:v>
      </x:c>
      <x:c r="B13" t="str">
        <x:v>https://www.bilibili.com/video/BV1CSoKBaEgK</x:v>
      </x:c>
      <x:c r="C13" t="str">
        <x:v>官方视频</x:v>
      </x:c>
      <x:c r="D13" t="str">
        <x:v>方法证据+Media</x:v>
      </x:c>
      <x:c r="E13" t="str">
        <x:v>同上</x:v>
      </x:c>
      <x:c r="F13" t="str">
        <x:v>保存URL+BVID</x:v>
      </x:c>
      <x:c r="G13" t="str">
        <x:v>否</x:v>
      </x:c>
      <x:c r="H13" t="str">
        <x:v>胸肩三头跟练；ROM/上斜角度/Y字等</x:v>
      </x:c>
      <x:c r="I13" t="str">
        <x:v>公开笔记用于辅助定位，正式规则仍经Canonical确认</x:v>
      </x:c>
    </x:row>
    <x:row r="14">
      <x:c r="A14" t="str">
        <x:v>SRC-OFFICIAL-BACK</x:v>
      </x:c>
      <x:c r="B14" t="str">
        <x:v>https://www.bilibili.com/video/BV1v5opBhEDc/</x:v>
      </x:c>
      <x:c r="C14" t="str">
        <x:v>官方视频</x:v>
      </x:c>
      <x:c r="D14" t="str">
        <x:v>方法证据+Media</x:v>
      </x:c>
      <x:c r="E14" t="str">
        <x:v>同上</x:v>
      </x:c>
      <x:c r="F14" t="str">
        <x:v>保存URL+BVID</x:v>
      </x:c>
      <x:c r="G14" t="str">
        <x:v>否</x:v>
      </x:c>
      <x:c r="H14" t="str">
        <x:v>背+后束+二头跟练</x:v>
      </x:c>
      <x:c r="I14" t="str">
        <x:v>动作专项规则</x:v>
      </x:c>
    </x:row>
    <x:row r="15">
      <x:c r="A15" t="str">
        <x:v>SRC-OFFICIAL-LEGS</x:v>
      </x:c>
      <x:c r="B15" t="str">
        <x:v>https://www.bilibili.com/video/BV17aovBqEdg/</x:v>
      </x:c>
      <x:c r="C15" t="str">
        <x:v>官方视频</x:v>
      </x:c>
      <x:c r="D15" t="str">
        <x:v>方法证据+Media</x:v>
      </x:c>
      <x:c r="E15" t="str">
        <x:v>同上</x:v>
      </x:c>
      <x:c r="F15" t="str">
        <x:v>保存URL+BVID</x:v>
      </x:c>
      <x:c r="G15" t="str">
        <x:v>否</x:v>
      </x:c>
      <x:c r="H15" t="str">
        <x:v>腿日跟练</x:v>
      </x:c>
      <x:c r="I15" t="str">
        <x:v>Day3精确处方仍有残余blocker</x:v>
      </x:c>
    </x:row>
    <x:row r="16">
      <x:c r="A16" t="str">
        <x:v>SRC-OFFICIAL-YRAISE</x:v>
      </x:c>
      <x:c r="B16" t="str">
        <x:v>https://www.bilibili.com/video/BV17hNXz6Exv/</x:v>
      </x:c>
      <x:c r="C16" t="str">
        <x:v>官方视频</x:v>
      </x:c>
      <x:c r="D16" t="str">
        <x:v>动作详解+Media</x:v>
      </x:c>
      <x:c r="E16" t="str">
        <x:v>同上</x:v>
      </x:c>
      <x:c r="F16" t="str">
        <x:v>保存URL+BVID</x:v>
      </x:c>
      <x:c r="G16" t="str">
        <x:v>否</x:v>
      </x:c>
      <x:c r="H16" t="str">
        <x:v>Y字侧平举命名/动作示范</x:v>
      </x:c>
      <x:c r="I16" t="str">
        <x:v>不替代三分化专属处方</x:v>
      </x:c>
    </x:row>
    <x:row r="17">
      <x:c r="A17" t="str">
        <x:v>SRC-OFFICIAL-INCLINE</x:v>
      </x:c>
      <x:c r="B17" t="str">
        <x:v>https://www.bilibili.com/video/BV1aa4y1o7XA</x:v>
      </x:c>
      <x:c r="C17" t="str">
        <x:v>官方视频</x:v>
      </x:c>
      <x:c r="D17" t="str">
        <x:v>动作详解+Media</x:v>
      </x:c>
      <x:c r="E17" t="str">
        <x:v>同上</x:v>
      </x:c>
      <x:c r="F17" t="str">
        <x:v>保存URL+BVID</x:v>
      </x:c>
      <x:c r="G17" t="str">
        <x:v>否</x:v>
      </x:c>
      <x:c r="H17" t="str">
        <x:v>上斜哑铃卧推</x:v>
      </x:c>
      <x:c r="I17" t="str">
        <x:v>约45°原则与动作示范</x:v>
      </x:c>
    </x:row>
    <x:row r="18">
      <x:c r="A18" t="str">
        <x:v>SRC-OFFICIAL-WARMUP</x:v>
      </x:c>
      <x:c r="B18" t="str">
        <x:v>https://www.bilibili.com/video/BV18J4m1878Q/</x:v>
      </x:c>
      <x:c r="C18" t="str">
        <x:v>官方视频</x:v>
      </x:c>
      <x:c r="D18" t="str">
        <x:v>Warm-up证据+Media</x:v>
      </x:c>
      <x:c r="E18" t="str">
        <x:v>同上</x:v>
      </x:c>
      <x:c r="F18" t="str">
        <x:v>保存URL+BVID</x:v>
      </x:c>
      <x:c r="G18" t="str">
        <x:v>否</x:v>
      </x:c>
      <x:c r="H18" t="str">
        <x:v>深蹲热身Library</x:v>
      </x:c>
      <x:c r="I18" t="str">
        <x:v>用于Warm-up protocol结构化</x:v>
      </x:c>
    </x:row>
    <x:row r="19">
      <x:c r="A19" t="str">
        <x:v>SRC-P0-RESOLUTION-01</x:v>
      </x:c>
      <x:c r="B19" t="str">
        <x:v>Pawside_2.0_METHOD_P0_RESOLUTION_PATCH_v0.1</x:v>
      </x:c>
      <x:c r="C19" t="str">
        <x:v>产品发布策略补丁</x:v>
      </x:c>
      <x:c r="D19" t="str">
        <x:v>V1 Runtime fallback与双发布门真值</x:v>
      </x:c>
      <x:c r="E19" t="str">
        <x:v>repo docs/product/system/method/sources</x:v>
      </x:c>
      <x:c r="F19" t="str">
        <x:v>版本v0.1+SHA256 BE6AB7F112B73B8EC07DEB3770F858CE80C8D42C0532055D08F57118E5E977F7</x:v>
      </x:c>
      <x:c r="G19" t="str">
        <x:v>否</x:v>
      </x:c>
      <x:c r="H19" t="str">
        <x:v>Day3与绳索弯举字段级authority、Runtime Default、release validator规则</x:v>
      </x:c>
      <x:c r="I19" t="str">
        <x:v>不替代原始方法Source；只把未证实值定义为product_execution_default。</x:v>
      </x:c>
    </x:row>
  </x:sheetData>
  <x:mergeCells>
    <x:mergeCell ref="A1:G1"/>
    <x:mergeCell ref="A2:G2"/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b1d970b0c378409f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25" hidden="0" customWidth="1"/>
    <x:col min="4" max="4" width="34" hidden="0" customWidth="1"/>
    <x:col min="5" max="5" width="36" hidden="0" customWidth="1"/>
    <x:col min="6" max="6" width="38" hidden="0" customWidth="1"/>
    <x:col min="7" max="7" width="16" hidden="0" customWidth="1"/>
    <x:col min="8" max="8" width="26" hidden="0" customWidth="1"/>
    <x:col min="9" max="9" width="24" hidden="0" customWidth="1"/>
    <x:col min="10" max="10" width="16" hidden="0" customWidth="1"/>
    <x:col min="11" max="11" width="12" hidden="0" customWidth="1"/>
    <x:col min="12" max="12" width="10" hidden="0" customWidth="1"/>
    <x:col min="13" max="13" width="24" hidden="0" customWidth="1"/>
    <x:col min="14" max="14" width="42" hidden="0" customWidth="1"/>
  </x:cols>
  <x:sheetData>
    <x:row r="1" ht="28" customHeight="1">
      <x:c r="A1" s="81" t="str">
        <x:v>重量校准规则｜Calibration ≠ Progression</x:v>
      </x:c>
      <x:c r="B1" s="81"/>
      <x:c r="C1" s="81"/>
      <x:c r="D1" s="81"/>
      <x:c r="E1" s="81"/>
      <x:c r="F1" s="81"/>
      <x:c r="G1" s="81"/>
      <x:c r="H1" s="81"/>
      <x:c r="I1" s="81"/>
      <x:c r="J1" s="81"/>
      <x:c r="K1" s="81"/>
      <x:c r="L1" s="81"/>
      <x:c r="M1" s="81"/>
      <x:c r="N1" s="81"/>
    </x:row>
    <x:row r="2" ht="28" customHeight="1">
      <x:c r="A2" s="34" t="str">
        <x:v>只解决“今天/当前该用多重”；不等于方法阶段进阶。任何固定公斤步长都必须来自已确认器械/方法规则，不由AI猜。</x:v>
      </x:c>
      <x:c r="B2" s="34"/>
      <x:c r="C2" s="34"/>
      <x:c r="D2" s="34"/>
      <x:c r="E2" s="34"/>
      <x:c r="F2" s="34"/>
      <x:c r="G2" s="34"/>
      <x:c r="H2" s="34"/>
      <x:c r="I2" s="34"/>
      <x:c r="J2" s="34"/>
      <x:c r="K2" s="34"/>
      <x:c r="L2" s="34"/>
      <x:c r="M2" s="34"/>
      <x:c r="N2" s="34"/>
    </x:row>
    <x:row r="3" ht="28" customHeight="1"/>
    <x:row r="4" ht="28" customHeight="1">
      <x:c r="A4" s="44" t="str">
        <x:v>RuleID</x:v>
      </x:c>
      <x:c r="B4" s="44" t="str">
        <x:v>适用范围</x:v>
      </x:c>
      <x:c r="C4" s="44" t="str">
        <x:v>触发</x:v>
      </x:c>
      <x:c r="D4" s="44" t="str">
        <x:v>读取数据</x:v>
      </x:c>
      <x:c r="E4" s="44" t="str">
        <x:v>判断条件</x:v>
      </x:c>
      <x:c r="F4" s="44" t="str">
        <x:v>系统动作</x:v>
      </x:c>
      <x:c r="G4" s="44" t="str">
        <x:v>是否改变方法阶段</x:v>
      </x:c>
      <x:c r="H4" s="44" t="str">
        <x:v>下一次影响</x:v>
      </x:c>
      <x:c r="I4" s="44" t="str">
        <x:v>规则来源</x:v>
      </x:c>
      <x:c r="J4" s="44" t="str">
        <x:v>EvidenceID</x:v>
      </x:c>
      <x:c r="K4" s="44" t="str">
        <x:v>状态</x:v>
      </x:c>
      <x:c r="L4" s="44" t="str">
        <x:v>可导入</x:v>
      </x:c>
      <x:c r="M4" s="44" t="str">
        <x:v>目标表</x:v>
      </x:c>
      <x:c r="N4" s="44" t="str">
        <x:v>用户解释示例</x:v>
      </x:c>
    </x:row>
    <x:row r="5">
      <x:c r="A5" s="88" t="str">
        <x:v>CAL-001</x:v>
      </x:c>
      <x:c r="B5" s="88" t="str">
        <x:v>首次训练</x:v>
      </x:c>
      <x:c r="C5" s="88" t="str">
        <x:v>动作无可靠个人参考重量</x:v>
      </x:c>
      <x:c r="D5" s="88" t="str">
        <x:v>初始能力画像+用户自选重量+目标次数/余量</x:v>
      </x:c>
      <x:c r="E5" s="88" t="str">
        <x:v>初始画像仅用于缩小范围，不直接换算固定公斤</x:v>
      </x:c>
      <x:c r="F5" s="88" t="str">
        <x:v>用户选择起始重量；首组实际表现用于校准</x:v>
      </x:c>
      <x:c r="G5" s="88" t="str">
        <x:v>否</x:v>
      </x:c>
      <x:c r="H5" s="88" t="str">
        <x:v>建立个人参考重量</x:v>
      </x:c>
      <x:c r="I5" s="88" t="str">
        <x:v>产品适应策略</x:v>
      </x:c>
      <x:c r="J5" s="88" t="str">
        <x:v>EV-ADAPT-001</x:v>
      </x:c>
      <x:c r="K5" s="88" t="str">
        <x:v>生效</x:v>
      </x:c>
      <x:c r="L5" s="88" t="str">
        <x:v>是</x:v>
      </x:c>
      <x:c r="M5" s="88" t="str">
        <x:v>method_rules(calibration)</x:v>
      </x:c>
      <x:c r="N5" s="88" t="str">
        <x:v>先用一个你能稳妥完成的重量，做完后再根据实际感觉调整。</x:v>
      </x:c>
    </x:row>
    <x:row r="6">
      <x:c r="A6" s="88" t="str">
        <x:v>CAL-002</x:v>
      </x:c>
      <x:c r="B6" s="88" t="str">
        <x:v>关键工作组</x:v>
      </x:c>
      <x:c r="C6" s="88" t="str">
        <x:v>实际次数达到目标且剩余次数明显多于目标</x:v>
      </x:c>
      <x:c r="D6" s="88" t="str">
        <x:v>目标次数/目标余量+实际重量/次数/余量</x:v>
      </x:c>
      <x:c r="E6" s="88" t="str">
        <x:v>当前重量偏轻</x:v>
      </x:c>
      <x:c r="F6" s="88" t="str">
        <x:v>提示下一组/下次可小幅增加；具体步长由器械最小增量和规则决定</x:v>
      </x:c>
      <x:c r="G6" s="88" t="str">
        <x:v>否</x:v>
      </x:c>
      <x:c r="H6" s="88" t="str">
        <x:v>提高reference weight候选</x:v>
      </x:c>
      <x:c r="I6" s="88" t="str">
        <x:v>方法原文推导+产品适应策略</x:v>
      </x:c>
      <x:c r="J6" s="88" t="str">
        <x:v>EV-CAL-002</x:v>
      </x:c>
      <x:c r="K6" s="88" t="str">
        <x:v>生效</x:v>
      </x:c>
      <x:c r="L6" s="88" t="str">
        <x:v>是</x:v>
      </x:c>
      <x:c r="M6" s="88" t="str">
        <x:v>method_rules(calibration)</x:v>
      </x:c>
      <x:c r="N6" s="88" t="str">
        <x:v>这组比目标轻一些，下一组可以小幅增加，也可以保持。</x:v>
      </x:c>
    </x:row>
    <x:row r="7">
      <x:c r="A7" s="88" t="str">
        <x:v>CAL-003</x:v>
      </x:c>
      <x:c r="B7" s="88" t="str">
        <x:v>关键工作组</x:v>
      </x:c>
      <x:c r="C7" s="88" t="str">
        <x:v>实际表现接近目标</x:v>
      </x:c>
      <x:c r="D7" s="88" t="str">
        <x:v>目标/实际次数+剩余次数</x:v>
      </x:c>
      <x:c r="E7" s="88" t="str">
        <x:v>次数达标且实际余量接近目标</x:v>
      </x:c>
      <x:c r="F7" s="88" t="str">
        <x:v>保持当前重量</x:v>
      </x:c>
      <x:c r="G7" s="88" t="str">
        <x:v>否</x:v>
      </x:c>
      <x:c r="H7" s="88" t="str">
        <x:v>维持reference weight</x:v>
      </x:c>
      <x:c r="I7" s="88" t="str">
        <x:v>方法原文明示</x:v>
      </x:c>
      <x:c r="J7" s="88" t="str">
        <x:v>EV-CAL-003</x:v>
      </x:c>
      <x:c r="K7" s="88" t="str">
        <x:v>生效</x:v>
      </x:c>
      <x:c r="L7" s="88" t="str">
        <x:v>是</x:v>
      </x:c>
      <x:c r="M7" s="88" t="str">
        <x:v>method_rules(calibration)</x:v>
      </x:c>
      <x:c r="N7" s="88" t="str">
        <x:v>这个重量和今天的要求比较匹配。</x:v>
      </x:c>
    </x:row>
    <x:row r="8">
      <x:c r="A8" s="88" t="str">
        <x:v>CAL-004</x:v>
      </x:c>
      <x:c r="B8" s="88" t="str">
        <x:v>关键工作组</x:v>
      </x:c>
      <x:c r="C8" s="88" t="str">
        <x:v>未达到目标次数或非力竭目标却做到极限</x:v>
      </x:c>
      <x:c r="D8" s="88" t="str">
        <x:v>目标/实际次数+剩余次数</x:v>
      </x:c>
      <x:c r="E8" s="88" t="str">
        <x:v>当前重量过重或当日状态不匹配</x:v>
      </x:c>
      <x:c r="F8" s="88" t="str">
        <x:v>建议下一组降低重量并重新匹配目标余量</x:v>
      </x:c>
      <x:c r="G8" s="88" t="str">
        <x:v>否</x:v>
      </x:c>
      <x:c r="H8" s="88" t="str">
        <x:v>降低reference weight候选</x:v>
      </x:c>
      <x:c r="I8" s="88" t="str">
        <x:v>方法原文明示+产品适应策略</x:v>
      </x:c>
      <x:c r="J8" s="88" t="str">
        <x:v>EV-CAL-004</x:v>
      </x:c>
      <x:c r="K8" s="88" t="str">
        <x:v>生效</x:v>
      </x:c>
      <x:c r="L8" s="88" t="str">
        <x:v>是</x:v>
      </x:c>
      <x:c r="M8" s="88" t="str">
        <x:v>method_rules(calibration)</x:v>
      </x:c>
      <x:c r="N8" s="88" t="str">
        <x:v>这组比今天的目标重了，下一组先减一点，保证动作和余量。</x:v>
      </x:c>
    </x:row>
    <x:row r="9">
      <x:c r="A9" s="88" t="str">
        <x:v>CAL-005</x:v>
      </x:c>
      <x:c r="B9" s="88" t="str">
        <x:v>任意动作</x:v>
      </x:c>
      <x:c r="C9" s="88" t="str">
        <x:v>用户报告明显变形/不适</x:v>
      </x:c>
      <x:c r="D9" s="88" t="str">
        <x:v>异常标记+实际表现</x:v>
      </x:c>
      <x:c r="E9" s="88" t="str">
        <x:v>质量/安全优先于成绩</x:v>
      </x:c>
      <x:c r="F9" s="88" t="str">
        <x:v>不因为完成重量而进阶；进入异常/适应流程</x:v>
      </x:c>
      <x:c r="G9" s="88" t="str">
        <x:v>否</x:v>
      </x:c>
      <x:c r="H9" s="88" t="str">
        <x:v>hold progression</x:v>
      </x:c>
      <x:c r="I9" s="88" t="str">
        <x:v>方法原文明示+产品策略</x:v>
      </x:c>
      <x:c r="J9" s="88" t="str">
        <x:v>EV-CAL-005</x:v>
      </x:c>
      <x:c r="K9" s="88" t="str">
        <x:v>生效</x:v>
      </x:c>
      <x:c r="L9" s="88" t="str">
        <x:v>是</x:v>
      </x:c>
      <x:c r="M9" s="88" t="str">
        <x:v>method_rules(calibration)</x:v>
      </x:c>
      <x:c r="N9" s="88" t="str">
        <x:v>重量会保留记录，但这次不拿来推动进阶。</x:v>
      </x:c>
    </x:row>
    <x:row r="10">
      <x:c r="A10" s="88" t="str">
        <x:v>CAL-006</x:v>
      </x:c>
      <x:c r="B10" s="88" t="str">
        <x:v>中断后回归</x:v>
      </x:c>
      <x:c r="C10" s="88" t="str">
        <x:v>training_continuity=returning/long_break</x:v>
      </x:c>
      <x:c r="D10" s="88" t="str">
        <x:v>中断天数+历史参考重量+首组实际</x:v>
      </x:c>
      <x:c r="E10" s="88" t="str">
        <x:v>历史最高重量不等于当前可用重量</x:v>
      </x:c>
      <x:c r="F10" s="88" t="str">
        <x:v>进入recalibration；保留历史阶段，重新找当前合适重量</x:v>
      </x:c>
      <x:c r="G10" s="88" t="str">
        <x:v>否</x:v>
      </x:c>
      <x:c r="H10" s="88" t="str">
        <x:v>更新当前reference weight</x:v>
      </x:c>
      <x:c r="I10" s="88" t="str">
        <x:v>产品适应策略</x:v>
      </x:c>
      <x:c r="J10" s="88" t="str">
        <x:v>EV-ADAPT-006</x:v>
      </x:c>
      <x:c r="K10" s="88" t="str">
        <x:v>生效</x:v>
      </x:c>
      <x:c r="L10" s="88" t="str">
        <x:v>是</x:v>
      </x:c>
      <x:c r="M10" s="88" t="str">
        <x:v>method_rules(calibration)</x:v>
      </x:c>
      <x:c r="N10" s="88" t="str">
        <x:v>方法不会清空，先用接下来几次把现在合适的重量重新找回来。</x:v>
      </x:c>
    </x:row>
    <x:row r="11">
      <x:c r="A11" s="88" t="str">
        <x:v>CAL-007</x:v>
      </x:c>
      <x:c r="B11" s="88" t="str">
        <x:v>用户主动挑战</x:v>
      </x:c>
      <x:c r="C11" s="88" t="str">
        <x:v>Actual &gt; Prescription 或 user_intent=challenge</x:v>
      </x:c>
      <x:c r="D11" s="88" t="str">
        <x:v>计划+实际+余量</x:v>
      </x:c>
      <x:c r="E11" s="88" t="str">
        <x:v>挑战成功不等于满足原阶段的余量条件</x:v>
      </x:c>
      <x:c r="F11" s="88" t="str">
        <x:v>保存成绩；不自动推进阶段</x:v>
      </x:c>
      <x:c r="G11" s="88" t="str">
        <x:v>否</x:v>
      </x:c>
      <x:c r="H11" s="88" t="str">
        <x:v>下次仍按方法目标校准</x:v>
      </x:c>
      <x:c r="I11" s="88" t="str">
        <x:v>产品适应策略</x:v>
      </x:c>
      <x:c r="J11" s="88" t="str">
        <x:v>EV-ADAPT-007</x:v>
      </x:c>
      <x:c r="K11" s="88" t="str">
        <x:v>生效</x:v>
      </x:c>
      <x:c r="L11" s="88" t="str">
        <x:v>是</x:v>
      </x:c>
      <x:c r="M11" s="88" t="str">
        <x:v>method_rules(calibration)</x:v>
      </x:c>
      <x:c r="N11" s="88" t="str">
        <x:v>成绩已经记下，但下一次仍按原方法的目标余量来安排。</x:v>
      </x:c>
    </x:row>
    <x:row r="12">
      <x:c r="A12" s="88" t="str">
        <x:v>CAL-008</x:v>
      </x:c>
      <x:c r="B12" s="88" t="str">
        <x:v>持续偏轻</x:v>
      </x:c>
      <x:c r="C12" s="88" t="str">
        <x:v>连续多次关键组余量高于目标</x:v>
      </x:c>
      <x:c r="D12" s="88" t="str">
        <x:v>近期同动作Actual历史</x:v>
      </x:c>
      <x:c r="E12" s="88" t="str">
        <x:v>阈值暂不写死，由后续规则测试确认</x:v>
      </x:c>
      <x:c r="F12" s="88" t="str">
        <x:v>提高参考重量；不直接改变方法阶段</x:v>
      </x:c>
      <x:c r="G12" s="88" t="str">
        <x:v>否</x:v>
      </x:c>
      <x:c r="H12" s="88" t="str">
        <x:v>更新reference weight</x:v>
      </x:c>
      <x:c r="I12" s="88" t="str">
        <x:v>产品适应策略</x:v>
      </x:c>
      <x:c r="J12" s="88" t="str">
        <x:v>EV-ADAPT-008</x:v>
      </x:c>
      <x:c r="K12" s="88" t="str">
        <x:v>待确认</x:v>
      </x:c>
      <x:c r="L12" s="88" t="str">
        <x:v>否</x:v>
      </x:c>
      <x:c r="M12" s="88" t="str">
        <x:v>method_rules(calibration)</x:v>
      </x:c>
      <x:c r="N12" s="88" t="str">
        <x:v>最近几次都偏轻，系统会逐步把参考重量往上调。</x:v>
      </x:c>
    </x:row>
    <x:row r="13">
      <x:c r="A13" s="88" t="str">
        <x:v>CAL-009</x:v>
      </x:c>
      <x:c r="B13" s="88" t="str">
        <x:v>持续偏重</x:v>
      </x:c>
      <x:c r="C13" s="88" t="str">
        <x:v>连续多次无法满足计划</x:v>
      </x:c>
      <x:c r="D13" s="88" t="str">
        <x:v>近期Actual+Recovery</x:v>
      </x:c>
      <x:c r="E13" s="88" t="str">
        <x:v>先排查重量匹配和恢复，再考虑阶段回退</x:v>
      </x:c>
      <x:c r="F13" s="88" t="str">
        <x:v>先重新校准/检查恢复；阶段回退由Progression Rule决定</x:v>
      </x:c>
      <x:c r="G13" s="88" t="str">
        <x:v>可能</x:v>
      </x:c>
      <x:c r="H13" s="88" t="str">
        <x:v>可能hold/repeat/regress</x:v>
      </x:c>
      <x:c r="I13" s="88" t="str">
        <x:v>产品适应策略</x:v>
      </x:c>
      <x:c r="J13" s="88" t="str">
        <x:v>EV-ADAPT-009</x:v>
      </x:c>
      <x:c r="K13" s="88" t="str">
        <x:v>生效</x:v>
      </x:c>
      <x:c r="L13" s="88" t="str">
        <x:v>是</x:v>
      </x:c>
      <x:c r="M13" s="88" t="str">
        <x:v>method_rules(calibration)</x:v>
      </x:c>
      <x:c r="N13" s="88" t="str">
        <x:v>先确认是不是重量或恢复问题，不会因为一次状态差就把阶段退回。</x:v>
      </x:c>
    </x:row>
    <x:row r="14">
      <x:c r="A14" t="str">
        <x:v>CAL-010</x:v>
      </x:c>
      <x:c r="B14" t="str">
        <x:v>Day3 + 坐姿肩屈位绳索弯举</x:v>
      </x:c>
      <x:c r="C14" t="str">
        <x:v>使用V1产品执行默认处方</x:v>
      </x:c>
      <x:c r="D14" t="str">
        <x:v>目标次数区间+实际重量/次数/余量+动作质量</x:v>
      </x:c>
      <x:c r="E14" t="str">
        <x:v>达到区间且余量合理且无质量问题=matched；持续偏轻/偏重进入reference_weight校准</x:v>
      </x:c>
      <x:c r="F14" t="str">
        <x:v>只调整reference_weight，不创建或推进method_stage</x:v>
      </x:c>
      <x:c r="G14" t="str">
        <x:v>否</x:v>
      </x:c>
      <x:c r="H14" t="str">
        <x:v>更新下一次reference_weight候选</x:v>
      </x:c>
      <x:c r="I14" t="str">
        <x:v>Pawside V1产品执行默认</x:v>
      </x:c>
      <x:c r="J14" t="str">
        <x:v>EV-P0-DAY3-DEFAULT;EV-P0-CURL-DEFAULT</x:v>
      </x:c>
      <x:c r="K14" t="str">
        <x:v>生效</x:v>
      </x:c>
      <x:c r="L14" t="str">
        <x:v>是</x:v>
      </x:c>
      <x:c r="M14" t="str">
        <x:v>method_rules(calibration)</x:v>
      </x:c>
      <x:c r="N14" t="str">
        <x:v>这次只是在帮你找到当前合适的重量，不会把它说成方法阶段进阶。</x:v>
      </x:c>
    </x:row>
  </x:sheetData>
  <x:mergeCells>
    <x:mergeCell ref="A1:N1"/>
    <x:mergeCell ref="A2:N2"/>
  </x:mergeCells>
  <x:conditionalFormatting sqref="K5:K200">
    <x:cfRule type="expression" dxfId="6" priority="1">
      <x:formula>$K5="生效"</x:formula>
    </x:cfRule>
    <x:cfRule type="expression" dxfId="7" priority="2">
      <x:formula>OR($K5="待确认",$K5="未解决",$K5="待补证据")</x:formula>
    </x:cfRule>
    <x:cfRule type="expression" dxfId="8" priority="3">
      <x:formula>OR($K5="不导入",$K5="归档")</x:formula>
    </x:cfRule>
  </x:conditionalFormatting>
  <x:dataValidations count="3">
    <x:dataValidation type="list" sqref="I5:I200">
      <x:formula1>"方法原文明示,方法原文推导,产品适应策略,方法原文明示+产品适应策略,方法原文明示+产品策略"</x:formula1>
    </x:dataValidation>
    <x:dataValidation type="list" sqref="K5:K200">
      <x:formula1>"生效,待确认,待补证据,不导入,归档"</x:formula1>
    </x:dataValidation>
    <x:dataValidation type="list" sqref="L5:L200">
      <x:formula1>"是,否"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acf123fee1c4bde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32" hidden="0" customWidth="1"/>
    <x:col min="4" max="4" width="28" hidden="0" customWidth="1"/>
    <x:col min="5" max="5" width="12" hidden="0" customWidth="1"/>
    <x:col min="6" max="6" width="22" hidden="0" customWidth="1"/>
    <x:col min="7" max="7" width="42" hidden="0" customWidth="1"/>
    <x:col min="8" max="8" width="16" hidden="0" customWidth="1"/>
    <x:col min="9" max="9" width="16" hidden="0" customWidth="1"/>
    <x:col min="10" max="10" width="18" hidden="0" customWidth="1"/>
    <x:col min="11" max="11" width="18" hidden="0" customWidth="1"/>
    <x:col min="12" max="12" width="34" hidden="0" customWidth="1"/>
    <x:col min="13" max="13" width="40" hidden="0" customWidth="1"/>
    <x:col min="14" max="14" width="26" hidden="0" customWidth="1"/>
    <x:col min="15" max="15" width="18" hidden="0" customWidth="1"/>
    <x:col min="16" max="16" width="10" hidden="0" customWidth="1"/>
    <x:col min="17" max="17" width="12" hidden="0" customWidth="1"/>
  </x:cols>
  <x:sheetData>
    <x:row r="1" ht="28" customHeight="1">
      <x:c r="A1" s="81" t="str">
        <x:v>Adaptive Coaching｜现实偏差场景矩阵</x:v>
      </x:c>
      <x:c r="B1" s="81"/>
      <x:c r="C1" s="81"/>
      <x:c r="D1" s="81"/>
      <x:c r="E1" s="81"/>
      <x:c r="F1" s="81"/>
      <x:c r="G1" s="81"/>
      <x:c r="H1" s="81"/>
      <x:c r="I1" s="81"/>
      <x:c r="J1" s="81"/>
      <x:c r="K1" s="81"/>
      <x:c r="L1" s="81"/>
      <x:c r="M1" s="81"/>
      <x:c r="N1" s="81"/>
      <x:c r="O1" s="81"/>
      <x:c r="P1" s="81"/>
      <x:c r="Q1" s="81"/>
    </x:row>
    <x:row r="2" ht="28" customHeight="1">
      <x:c r="A2" s="34" t="str">
        <x:v>每一种偏离计划都必须有数据入口、默认策略和权威来源。偏离≠失败；一次异常≠长期规律。</x:v>
      </x:c>
      <x:c r="B2" s="34"/>
      <x:c r="C2" s="34"/>
      <x:c r="D2" s="34"/>
      <x:c r="E2" s="34"/>
      <x:c r="F2" s="34"/>
      <x:c r="G2" s="34"/>
      <x:c r="H2" s="34"/>
      <x:c r="I2" s="34"/>
      <x:c r="J2" s="34"/>
      <x:c r="K2" s="34"/>
      <x:c r="L2" s="34"/>
      <x:c r="M2" s="34"/>
      <x:c r="N2" s="34"/>
      <x:c r="O2" s="34"/>
      <x:c r="P2" s="34"/>
      <x:c r="Q2" s="34"/>
    </x:row>
    <x:row r="3" ht="28" customHeight="1"/>
    <x:row r="4" ht="28" customHeight="1">
      <x:c r="A4" s="44" t="str">
        <x:v>ScenarioID</x:v>
      </x:c>
      <x:c r="B4" s="44" t="str">
        <x:v>场景</x:v>
      </x:c>
      <x:c r="C4" s="44" t="str">
        <x:v>触发/检测</x:v>
      </x:c>
      <x:c r="D4" s="44" t="str">
        <x:v>用户可补输入</x:v>
      </x:c>
      <x:c r="E4" s="44" t="str">
        <x:v>安全优先级</x:v>
      </x:c>
      <x:c r="F4" s="44" t="str">
        <x:v>方法原文是否明确</x:v>
      </x:c>
      <x:c r="G4" s="44" t="str">
        <x:v>默认适应策略</x:v>
      </x:c>
      <x:c r="H4" s="44" t="str">
        <x:v>重量变化</x:v>
      </x:c>
      <x:c r="I4" s="44" t="str">
        <x:v>阶段变化</x:v>
      </x:c>
      <x:c r="J4" s="44" t="str">
        <x:v>下一训练日</x:v>
      </x:c>
      <x:c r="K4" s="44" t="str">
        <x:v>恢复影响</x:v>
      </x:c>
      <x:c r="L4" s="44" t="str">
        <x:v>写入数据</x:v>
      </x:c>
      <x:c r="M4" s="44" t="str">
        <x:v>用户UI</x:v>
      </x:c>
      <x:c r="N4" s="44" t="str">
        <x:v>规则来源</x:v>
      </x:c>
      <x:c r="O4" s="44" t="str">
        <x:v>EvidenceID</x:v>
      </x:c>
      <x:c r="P4" s="44" t="str">
        <x:v>可导入</x:v>
      </x:c>
      <x:c r="Q4" s="44" t="str">
        <x:v>状态</x:v>
      </x:c>
    </x:row>
    <x:row r="5">
      <x:c r="A5" s="88" t="str">
        <x:v>SCN-001</x:v>
      </x:c>
      <x:c r="B5" s="88" t="str">
        <x:v>用户主动加重</x:v>
      </x:c>
      <x:c r="C5" s="88" t="str">
        <x:v>actual_weight &gt; suggested/reference</x:v>
      </x:c>
      <x:c r="D5" s="88" t="str">
        <x:v>状态好/原重量太轻/想挑战/其他</x:v>
      </x:c>
      <x:c r="E5" s="88" t="str">
        <x:v>低</x:v>
      </x:c>
      <x:c r="F5" s="88" t="str">
        <x:v>部分</x:v>
      </x:c>
      <x:c r="G5" s="88" t="str">
        <x:v>保存真实表现；若余量低于方法目标，不因更重自动进阶</x:v>
      </x:c>
      <x:c r="H5" s="88" t="str">
        <x:v>可能上调参考重量</x:v>
      </x:c>
      <x:c r="I5" s="88" t="str">
        <x:v>默认不变</x:v>
      </x:c>
      <x:c r="J5" s="88" t="str">
        <x:v>不变</x:v>
      </x:c>
      <x:c r="K5" s="88" t="str">
        <x:v>读入疲劳评估</x:v>
      </x:c>
      <x:c r="L5" s="88" t="str">
        <x:v>set_executions + training_deviations + adaptation_decisions</x:v>
      </x:c>
      <x:c r="M5" s="88" t="str">
        <x:v>显示“今天和原计划不同”，解释成绩保留但不自动进阶</x:v>
      </x:c>
      <x:c r="N5" s="88" t="str">
        <x:v>产品适应策略</x:v>
      </x:c>
      <x:c r="O5" s="88" t="str">
        <x:v>EV-ADAPT-007</x:v>
      </x:c>
      <x:c r="P5" s="88" t="str">
        <x:v>是</x:v>
      </x:c>
      <x:c r="Q5" s="88" t="str">
        <x:v>生效</x:v>
      </x:c>
    </x:row>
    <x:row r="6">
      <x:c r="A6" s="88" t="str">
        <x:v>SCN-002</x:v>
      </x:c>
      <x:c r="B6" s="88" t="str">
        <x:v>用户主动减重</x:v>
      </x:c>
      <x:c r="C6" s="88" t="str">
        <x:v>actual_weight &lt; suggested/reference</x:v>
      </x:c>
      <x:c r="D6" s="88" t="str">
        <x:v>状态一般/热身感觉不对/其他</x:v>
      </x:c>
      <x:c r="E6" s="88" t="str">
        <x:v>低</x:v>
      </x:c>
      <x:c r="F6" s="88" t="str">
        <x:v>方法支持动态调重</x:v>
      </x:c>
      <x:c r="G6" s="88" t="str">
        <x:v>以目标次数和余量是否匹配为准；合理减重可视为正常执行</x:v>
      </x:c>
      <x:c r="H6" s="88" t="str">
        <x:v>下调参考候选</x:v>
      </x:c>
      <x:c r="I6" s="88" t="str">
        <x:v>不变</x:v>
      </x:c>
      <x:c r="J6" s="88" t="str">
        <x:v>不变</x:v>
      </x:c>
      <x:c r="K6" s="88" t="str">
        <x:v>可读入</x:v>
      </x:c>
      <x:c r="L6" s="88" t="str">
        <x:v>training_deviations + adaptation_decisions</x:v>
      </x:c>
      <x:c r="M6" s="88" t="str">
        <x:v>不标失败；显示“已按今天状态调整”</x:v>
      </x:c>
      <x:c r="N6" s="88" t="str">
        <x:v>方法原文推导+产品策略</x:v>
      </x:c>
      <x:c r="O6" s="88" t="str">
        <x:v>EV-CAL-004</x:v>
      </x:c>
      <x:c r="P6" s="88" t="str">
        <x:v>是</x:v>
      </x:c>
      <x:c r="Q6" s="88" t="str">
        <x:v>生效</x:v>
      </x:c>
    </x:row>
    <x:row r="7">
      <x:c r="A7" s="88" t="str">
        <x:v>SCN-003</x:v>
      </x:c>
      <x:c r="B7" s="88" t="str">
        <x:v>多做一组</x:v>
      </x:c>
      <x:c r="C7" s="88" t="str">
        <x:v>出现无set_prescription_id的额外组</x:v>
      </x:c>
      <x:c r="D7" s="88" t="str">
        <x:v>想多做/状态好/其他</x:v>
      </x:c>
      <x:c r="E7" s="88" t="str">
        <x:v>低</x:v>
      </x:c>
      <x:c r="F7" s="88" t="str">
        <x:v>未明确</x:v>
      </x:c>
      <x:c r="G7" s="88" t="str">
        <x:v>允许保存extra set；默认不用于方法阶段判定</x:v>
      </x:c>
      <x:c r="H7" s="88" t="str">
        <x:v>不自动</x:v>
      </x:c>
      <x:c r="I7" s="88" t="str">
        <x:v>不自动</x:v>
      </x:c>
      <x:c r="J7" s="88" t="str">
        <x:v>不变</x:v>
      </x:c>
      <x:c r="K7" s="88" t="str">
        <x:v>增加当日负荷上下文</x:v>
      </x:c>
      <x:c r="L7" s="88" t="str">
        <x:v>set_executions + training_deviations</x:v>
      </x:c>
      <x:c r="M7" s="88" t="str">
        <x:v>额外组单独标记</x:v>
      </x:c>
      <x:c r="N7" s="88" t="str">
        <x:v>产品适应策略</x:v>
      </x:c>
      <x:c r="O7" s="88" t="str">
        <x:v>EV-ADAPT-003</x:v>
      </x:c>
      <x:c r="P7" s="88" t="str">
        <x:v>是</x:v>
      </x:c>
      <x:c r="Q7" s="88" t="str">
        <x:v>生效</x:v>
      </x:c>
    </x:row>
    <x:row r="8">
      <x:c r="A8" s="88" t="str">
        <x:v>SCN-004</x:v>
      </x:c>
      <x:c r="B8" s="88" t="str">
        <x:v>少做一组</x:v>
      </x:c>
      <x:c r="C8" s="88" t="str">
        <x:v>计划组缺失</x:v>
      </x:c>
      <x:c r="D8" s="88" t="str">
        <x:v>时间不够/太累/不适/其他</x:v>
      </x:c>
      <x:c r="E8" s="88" t="str">
        <x:v>中</x:v>
      </x:c>
      <x:c r="F8" s="88" t="str">
        <x:v>未明确</x:v>
      </x:c>
      <x:c r="G8" s="88" t="str">
        <x:v>保留已完成Actual；未完成明确记录；是否补做只按方法规则</x:v>
      </x:c>
      <x:c r="H8" s="88" t="str">
        <x:v>不自动</x:v>
      </x:c>
      <x:c r="I8" s="88" t="str">
        <x:v>hold</x:v>
      </x:c>
      <x:c r="J8" s="88" t="str">
        <x:v>默认仍按方法顺序</x:v>
      </x:c>
      <x:c r="K8" s="88" t="str">
        <x:v>可能</x:v>
      </x:c>
      <x:c r="L8" s="88" t="str">
        <x:v>training_deviations</x:v>
      </x:c>
      <x:c r="M8" s="88" t="str">
        <x:v>显示已完成部分，不把整场归零</x:v>
      </x:c>
      <x:c r="N8" s="88" t="str">
        <x:v>产品适应策略</x:v>
      </x:c>
      <x:c r="O8" s="88" t="str">
        <x:v>EV-ADAPT-004</x:v>
      </x:c>
      <x:c r="P8" s="88" t="str">
        <x:v>是</x:v>
      </x:c>
      <x:c r="Q8" s="88" t="str">
        <x:v>生效</x:v>
      </x:c>
    </x:row>
    <x:row r="9">
      <x:c r="A9" s="88" t="str">
        <x:v>SCN-005</x:v>
      </x:c>
      <x:c r="B9" s="88" t="str">
        <x:v>训练提前结束</x:v>
      </x:c>
      <x:c r="C9" s="88" t="str">
        <x:v>session未完成即结束</x:v>
      </x:c>
      <x:c r="D9" s="88" t="str">
        <x:v>临时有事/疲劳/不适</x:v>
      </x:c>
      <x:c r="E9" s="88" t="str">
        <x:v>中</x:v>
      </x:c>
      <x:c r="F9" s="88" t="str">
        <x:v>未明确</x:v>
      </x:c>
      <x:c r="G9" s="88" t="str">
        <x:v>保存部分完成；不伪造完成；下一步由适应/方法规则判断</x:v>
      </x:c>
      <x:c r="H9" s="88" t="str">
        <x:v>不自动</x:v>
      </x:c>
      <x:c r="I9" s="88" t="str">
        <x:v>hold</x:v>
      </x:c>
      <x:c r="J9" s="88" t="str">
        <x:v>不自动跳序</x:v>
      </x:c>
      <x:c r="K9" s="88" t="str">
        <x:v>可能</x:v>
      </x:c>
      <x:c r="L9" s="88" t="str">
        <x:v>workout_sessions + training_deviations</x:v>
      </x:c>
      <x:c r="M9" s="88" t="str">
        <x:v>允许“结束今天”，说明未完成部分</x:v>
      </x:c>
      <x:c r="N9" s="88" t="str">
        <x:v>产品适应策略</x:v>
      </x:c>
      <x:c r="O9" s="88" t="str">
        <x:v>EV-ADAPT-005</x:v>
      </x:c>
      <x:c r="P9" s="88" t="str">
        <x:v>是</x:v>
      </x:c>
      <x:c r="Q9" s="88" t="str">
        <x:v>生效</x:v>
      </x:c>
    </x:row>
    <x:row r="10">
      <x:c r="A10" s="88" t="str">
        <x:v>SCN-006</x:v>
      </x:c>
      <x:c r="B10" s="88" t="str">
        <x:v>短期中断后回来</x:v>
      </x:c>
      <x:c r="C10" s="88" t="str">
        <x:v>距上次训练数天</x:v>
      </x:c>
      <x:c r="D10" s="88" t="str">
        <x:v>可选状态确认</x:v>
      </x:c>
      <x:c r="E10" s="88" t="str">
        <x:v>低</x:v>
      </x:c>
      <x:c r="F10" s="88" t="str">
        <x:v>频率应按恢复个体化</x:v>
      </x:c>
      <x:c r="G10" s="88" t="str">
        <x:v>保留next split；必要时快速恢复确认</x:v>
      </x:c>
      <x:c r="H10" s="88" t="str">
        <x:v>按实际校准</x:v>
      </x:c>
      <x:c r="I10" s="88" t="str">
        <x:v>默认不变</x:v>
      </x:c>
      <x:c r="J10" s="88" t="str">
        <x:v>保留</x:v>
      </x:c>
      <x:c r="K10" s="88" t="str">
        <x:v>重新评估</x:v>
      </x:c>
      <x:c r="L10" s="88" t="str">
        <x:v>user_training_state</x:v>
      </x:c>
      <x:c r="M10" s="88" t="str">
        <x:v>欢迎回来，下一项不变</x:v>
      </x:c>
      <x:c r="N10" s="88" t="str">
        <x:v>方法原则+产品策略</x:v>
      </x:c>
      <x:c r="O10" s="88" t="str">
        <x:v>EV-ADAPT-006</x:v>
      </x:c>
      <x:c r="P10" s="88" t="str">
        <x:v>是</x:v>
      </x:c>
      <x:c r="Q10" s="88" t="str">
        <x:v>生效</x:v>
      </x:c>
    </x:row>
    <x:row r="11">
      <x:c r="A11" s="88" t="str">
        <x:v>SCN-007</x:v>
      </x:c>
      <x:c r="B11" s="88" t="str">
        <x:v>较长中断后回来</x:v>
      </x:c>
      <x:c r="C11" s="88" t="str">
        <x:v>中断达到returning/long_break策略阈值</x:v>
      </x:c>
      <x:c r="D11" s="88" t="str">
        <x:v>状态/是否生病等</x:v>
      </x:c>
      <x:c r="E11" s="88" t="str">
        <x:v>中</x:v>
      </x:c>
      <x:c r="F11" s="88" t="str">
        <x:v>具体天数未明确</x:v>
      </x:c>
      <x:c r="G11" s="88" t="str">
        <x:v>进入重新校准；历史和阶段保留，不直接沿用历史最高重量</x:v>
      </x:c>
      <x:c r="H11" s="88" t="str">
        <x:v>重新校准</x:v>
      </x:c>
      <x:c r="I11" s="88" t="str">
        <x:v>先保留</x:v>
      </x:c>
      <x:c r="J11" s="88" t="str">
        <x:v>保留</x:v>
      </x:c>
      <x:c r="K11" s="88" t="str">
        <x:v>重新评估</x:v>
      </x:c>
      <x:c r="L11" s="88" t="str">
        <x:v>user_training_state + adaptation_decisions</x:v>
      </x:c>
      <x:c r="M11" s="88" t="str">
        <x:v>方法不清空，先重新找合适重量</x:v>
      </x:c>
      <x:c r="N11" s="88" t="str">
        <x:v>产品适应策略</x:v>
      </x:c>
      <x:c r="O11" s="88" t="str">
        <x:v>EV-ADAPT-006</x:v>
      </x:c>
      <x:c r="P11" s="88" t="str">
        <x:v>是</x:v>
      </x:c>
      <x:c r="Q11" s="88" t="str">
        <x:v>生效</x:v>
      </x:c>
    </x:row>
    <x:row r="12">
      <x:c r="A12" s="88" t="str">
        <x:v>SCN-008</x:v>
      </x:c>
      <x:c r="B12" s="88" t="str">
        <x:v>手腕/肩/腰等突然不适</x:v>
      </x:c>
      <x:c r="C12" s="88" t="str">
        <x:v>用户点击“有点不舒服”</x:v>
      </x:c>
      <x:c r="D12" s="88" t="str">
        <x:v>部位+是否还能舒服继续</x:v>
      </x:c>
      <x:c r="E12" s="88" t="str">
        <x:v>高</x:v>
      </x:c>
      <x:c r="F12" s="88" t="str">
        <x:v>方法强调关节/动作质量但非医疗诊断</x:v>
      </x:c>
      <x:c r="G12" s="88" t="str">
        <x:v>安全优先；允许停止动作；该动作不推进；必要时建议专业评估</x:v>
      </x:c>
      <x:c r="H12" s="88" t="str">
        <x:v>可能降低/停止</x:v>
      </x:c>
      <x:c r="I12" s="88" t="str">
        <x:v>hold</x:v>
      </x:c>
      <x:c r="J12" s="88" t="str">
        <x:v>不自动跳序</x:v>
      </x:c>
      <x:c r="K12" s="88" t="str">
        <x:v>提高风险</x:v>
      </x:c>
      <x:c r="L12" s="88" t="str">
        <x:v>training_discomfort_events + adaptation_decisions</x:v>
      </x:c>
      <x:c r="M12" s="88" t="str">
        <x:v>近端入口，不做伤病诊断</x:v>
      </x:c>
      <x:c r="N12" s="88" t="str">
        <x:v>方法原则+产品安全策略</x:v>
      </x:c>
      <x:c r="O12" s="88" t="str">
        <x:v>EV-ADAPT-PAIN</x:v>
      </x:c>
      <x:c r="P12" s="88" t="str">
        <x:v>是</x:v>
      </x:c>
      <x:c r="Q12" s="88" t="str">
        <x:v>生效</x:v>
      </x:c>
    </x:row>
    <x:row r="13">
      <x:c r="A13" s="88" t="str">
        <x:v>SCN-009</x:v>
      </x:c>
      <x:c r="B13" s="88" t="str">
        <x:v>最近持续疲劳</x:v>
      </x:c>
      <x:c r="C13" s="88" t="str">
        <x:v>恢复输入+表现趋势</x:v>
      </x:c>
      <x:c r="D13" s="88" t="str">
        <x:v>睡眠/疲劳/不适</x:v>
      </x:c>
      <x:c r="E13" s="88" t="str">
        <x:v>高</x:v>
      </x:c>
      <x:c r="F13" s="88" t="str">
        <x:v>恢复决定频率</x:v>
      </x:c>
      <x:c r="G13" s="88" t="str">
        <x:v>建议休息或降低当日负重；不诊断“过度训练”</x:v>
      </x:c>
      <x:c r="H13" s="88" t="str">
        <x:v>可能降低</x:v>
      </x:c>
      <x:c r="I13" s="88" t="str">
        <x:v>hold可能</x:v>
      </x:c>
      <x:c r="J13" s="88" t="str">
        <x:v>next split保留</x:v>
      </x:c>
      <x:c r="K13" s="88" t="str">
        <x:v>核心影响</x:v>
      </x:c>
      <x:c r="L13" s="88" t="str">
        <x:v>recovery_checkins + recovery_decisions</x:v>
      </x:c>
      <x:c r="M13" s="88" t="str">
        <x:v>只说恢复信号偏差</x:v>
      </x:c>
      <x:c r="N13" s="88" t="str">
        <x:v>方法原文明示+产品策略</x:v>
      </x:c>
      <x:c r="O13" s="88" t="str">
        <x:v>EV-REC-001</x:v>
      </x:c>
      <x:c r="P13" s="88" t="str">
        <x:v>是</x:v>
      </x:c>
      <x:c r="Q13" s="88" t="str">
        <x:v>生效</x:v>
      </x:c>
    </x:row>
    <x:row r="14">
      <x:c r="A14" s="88" t="str">
        <x:v>SCN-010</x:v>
      </x:c>
      <x:c r="B14" s="88" t="str">
        <x:v>今天状态特别好</x:v>
      </x:c>
      <x:c r="C14" s="88" t="str">
        <x:v>用户状态+首组实际余量高</x:v>
      </x:c>
      <x:c r="D14" s="88" t="str">
        <x:v>可选“状态不错”</x:v>
      </x:c>
      <x:c r="E14" s="88" t="str">
        <x:v>低</x:v>
      </x:c>
      <x:c r="F14" s="88" t="str">
        <x:v>方法允许重量动态</x:v>
      </x:c>
      <x:c r="G14" s="88" t="str">
        <x:v>不自动抬高整场；根据实际余量给小幅加重候选</x:v>
      </x:c>
      <x:c r="H14" s="88" t="str">
        <x:v>可能增加</x:v>
      </x:c>
      <x:c r="I14" s="88" t="str">
        <x:v>不自动</x:v>
      </x:c>
      <x:c r="J14" s="88" t="str">
        <x:v>不变</x:v>
      </x:c>
      <x:c r="K14" s="88" t="str">
        <x:v>记录</x:v>
      </x:c>
      <x:c r="L14" s="88" t="str">
        <x:v>adaptation_decisions</x:v>
      </x:c>
      <x:c r="M14" s="88" t="str">
        <x:v>“下一组可以小幅增加，也可以保持”</x:v>
      </x:c>
      <x:c r="N14" s="88" t="str">
        <x:v>方法原文推导+产品策略</x:v>
      </x:c>
      <x:c r="O14" s="88" t="str">
        <x:v>EV-CAL-002</x:v>
      </x:c>
      <x:c r="P14" s="88" t="str">
        <x:v>是</x:v>
      </x:c>
      <x:c r="Q14" s="88" t="str">
        <x:v>生效</x:v>
      </x:c>
    </x:row>
    <x:row r="15">
      <x:c r="A15" s="88" t="str">
        <x:v>SCN-011</x:v>
      </x:c>
      <x:c r="B15" s="88" t="str">
        <x:v>今天状态差但仍想练</x:v>
      </x:c>
      <x:c r="C15" s="88" t="str">
        <x:v>恢复建议caution/rest但用户override</x:v>
      </x:c>
      <x:c r="D15" s="88" t="str">
        <x:v>继续训练确认</x:v>
      </x:c>
      <x:c r="E15" s="88" t="str">
        <x:v>中高</x:v>
      </x:c>
      <x:c r="F15" s="88" t="str">
        <x:v>方法强调恢复</x:v>
      </x:c>
      <x:c r="G15" s="88" t="str">
        <x:v>允许override；优先通过降重量匹配目标余量，保留方法结构</x:v>
      </x:c>
      <x:c r="H15" s="88" t="str">
        <x:v>降低候选</x:v>
      </x:c>
      <x:c r="I15" s="88" t="str">
        <x:v>hold可能</x:v>
      </x:c>
      <x:c r="J15" s="88" t="str">
        <x:v>保留</x:v>
      </x:c>
      <x:c r="K15" s="88" t="str">
        <x:v>记录override</x:v>
      </x:c>
      <x:c r="L15" s="88" t="str">
        <x:v>recovery_decisions + adaptation_decisions</x:v>
      </x:c>
      <x:c r="M15" s="88" t="str">
        <x:v>不锁死；随时可减轻重量</x:v>
      </x:c>
      <x:c r="N15" s="88" t="str">
        <x:v>产品适应策略</x:v>
      </x:c>
      <x:c r="O15" s="88" t="str">
        <x:v>EV-ADAPT-011</x:v>
      </x:c>
      <x:c r="P15" s="88" t="str">
        <x:v>是</x:v>
      </x:c>
      <x:c r="Q15" s="88" t="str">
        <x:v>生效</x:v>
      </x:c>
    </x:row>
    <x:row r="16">
      <x:c r="A16" s="88" t="str">
        <x:v>SCN-012</x:v>
      </x:c>
      <x:c r="B16" s="88" t="str">
        <x:v>器械被占</x:v>
      </x:c>
      <x:c r="C16" s="88" t="str">
        <x:v>用户选择“稍后做”</x:v>
      </x:c>
      <x:c r="D16" s="88" t="str">
        <x:v>器械暂不可用</x:v>
      </x:c>
      <x:c r="E16" s="88" t="str">
        <x:v>低</x:v>
      </x:c>
      <x:c r="F16" s="88" t="str">
        <x:v>部分动作有替代但非全局</x:v>
      </x:c>
      <x:c r="G16" s="88" t="str">
        <x:v>暂时后移；结束仍没做则skip reason=equipment</x:v>
      </x:c>
      <x:c r="H16" s="88" t="str">
        <x:v>不一定</x:v>
      </x:c>
      <x:c r="I16" s="88" t="str">
        <x:v>hold</x:v>
      </x:c>
      <x:c r="J16" s="88" t="str">
        <x:v>不改变split</x:v>
      </x:c>
      <x:c r="K16" s="88" t="str">
        <x:v>无/轻</x:v>
      </x:c>
      <x:c r="L16" s="88" t="str">
        <x:v>training_deviations</x:v>
      </x:c>
      <x:c r="M16" s="88" t="str">
        <x:v>按钮“稍后做”</x:v>
      </x:c>
      <x:c r="N16" s="88" t="str">
        <x:v>产品适应策略</x:v>
      </x:c>
      <x:c r="O16" s="88" t="str">
        <x:v>EV-ADAPT-012</x:v>
      </x:c>
      <x:c r="P16" s="88" t="str">
        <x:v>是</x:v>
      </x:c>
      <x:c r="Q16" s="88" t="str">
        <x:v>生效</x:v>
      </x:c>
    </x:row>
    <x:row r="17">
      <x:c r="A17" s="88" t="str">
        <x:v>SCN-013</x:v>
      </x:c>
      <x:c r="B17" s="88" t="str">
        <x:v>动作长期难执行/不舒服</x:v>
      </x:c>
      <x:c r="C17" s="88" t="str">
        <x:v>同动作重复issue</x:v>
      </x:c>
      <x:c r="D17" s="88" t="str">
        <x:v>器械/不适/难执行/其他</x:v>
      </x:c>
      <x:c r="E17" s="88" t="str">
        <x:v>中高</x:v>
      </x:c>
      <x:c r="F17" s="88" t="str">
        <x:v>部分有明确退阶/替代</x:v>
      </x:c>
      <x:c r="G17" s="88" t="str">
        <x:v>有方法明确替代则用；没有则METHOD_GAP，不让AI自创</x:v>
      </x:c>
      <x:c r="H17" s="88" t="str">
        <x:v>可能</x:v>
      </x:c>
      <x:c r="I17" s="88" t="str">
        <x:v>hold</x:v>
      </x:c>
      <x:c r="J17" s="88" t="str">
        <x:v>不变</x:v>
      </x:c>
      <x:c r="K17" s="88" t="str">
        <x:v>可能</x:v>
      </x:c>
      <x:c r="L17" s="88" t="str">
        <x:v>exercise_issue + adaptation_decisions</x:v>
      </x:c>
      <x:c r="M17" s="88" t="str">
        <x:v>提示已确认替代；否则记录待处理</x:v>
      </x:c>
      <x:c r="N17" s="88" t="str">
        <x:v>方法约束+产品策略</x:v>
      </x:c>
      <x:c r="O17" s="88" t="str">
        <x:v>EV-ADAPT-013</x:v>
      </x:c>
      <x:c r="P17" s="88" t="str">
        <x:v>是</x:v>
      </x:c>
      <x:c r="Q17" s="88" t="str">
        <x:v>生效</x:v>
      </x:c>
    </x:row>
    <x:row r="18">
      <x:c r="A18" s="88" t="str">
        <x:v>SCN-014</x:v>
      </x:c>
      <x:c r="B18" s="88" t="str">
        <x:v>额外训练</x:v>
      </x:c>
      <x:c r="C18" s="88" t="str">
        <x:v>用户补记非计划训练</x:v>
      </x:c>
      <x:c r="D18" s="88" t="str">
        <x:v>训练内容/日期</x:v>
      </x:c>
      <x:c r="E18" s="88" t="str">
        <x:v>低</x:v>
      </x:c>
      <x:c r="F18" s="88" t="str">
        <x:v>未明确</x:v>
      </x:c>
      <x:c r="G18" s="88" t="str">
        <x:v>作为Actual进入History/Weekly/Recovery；不进入官方Cycle</x:v>
      </x:c>
      <x:c r="H18" s="88" t="str">
        <x:v>按实际</x:v>
      </x:c>
      <x:c r="I18" s="88" t="str">
        <x:v>不改变官方阶段</x:v>
      </x:c>
      <x:c r="J18" s="88" t="str">
        <x:v>不改变split</x:v>
      </x:c>
      <x:c r="K18" s="88" t="str">
        <x:v>增加负荷上下文</x:v>
      </x:c>
      <x:c r="L18" s="88" t="str">
        <x:v>workout_sessions(session_type=extra)</x:v>
      </x:c>
      <x:c r="M18" s="88" t="str">
        <x:v>标“额外训练”</x:v>
      </x:c>
      <x:c r="N18" s="88" t="str">
        <x:v>产品适应策略</x:v>
      </x:c>
      <x:c r="O18" s="88" t="str">
        <x:v>EV-ADAPT-014</x:v>
      </x:c>
      <x:c r="P18" s="88" t="str">
        <x:v>是</x:v>
      </x:c>
      <x:c r="Q18" s="88" t="str">
        <x:v>生效</x:v>
      </x:c>
    </x:row>
    <x:row r="19">
      <x:c r="A19" s="88" t="str">
        <x:v>SCN-015</x:v>
      </x:c>
      <x:c r="B19" s="88" t="str">
        <x:v>几天不记饮食</x:v>
      </x:c>
      <x:c r="C19" s="88" t="str">
        <x:v>nutrition数据缺失</x:v>
      </x:c>
      <x:c r="D19" s="88" t="str">
        <x:v>无</x:v>
      </x:c>
      <x:c r="E19" s="88" t="str">
        <x:v>低</x:v>
      </x:c>
      <x:c r="F19" s="88" t="str">
        <x:v>无</x:v>
      </x:c>
      <x:c r="G19" s="88" t="str">
        <x:v>训练继续；Review降低营养判断置信度，不猜摄入</x:v>
      </x:c>
      <x:c r="H19" s="88" t="str">
        <x:v>无</x:v>
      </x:c>
      <x:c r="I19" s="88" t="str">
        <x:v>无</x:v>
      </x:c>
      <x:c r="J19" s="88" t="str">
        <x:v>无</x:v>
      </x:c>
      <x:c r="K19" s="88" t="str">
        <x:v>数据质量</x:v>
      </x:c>
      <x:c r="L19" s="88" t="str">
        <x:v>data_quality</x:v>
      </x:c>
      <x:c r="M19" s="88" t="str">
        <x:v>说明数据不足</x:v>
      </x:c>
      <x:c r="N19" s="88" t="str">
        <x:v>产品策略</x:v>
      </x:c>
      <x:c r="O19" s="88" t="str">
        <x:v>EV-ADAPT-015</x:v>
      </x:c>
      <x:c r="P19" s="88" t="str">
        <x:v>是</x:v>
      </x:c>
      <x:c r="Q19" s="88" t="str">
        <x:v>生效</x:v>
      </x:c>
    </x:row>
    <x:row r="20">
      <x:c r="A20" s="88" t="str">
        <x:v>SCN-016</x:v>
      </x:c>
      <x:c r="B20" s="88" t="str">
        <x:v>减脂但训练表现下降</x:v>
      </x:c>
      <x:c r="C20" s="88" t="str">
        <x:v>体重趋势下降+performance下降</x:v>
      </x:c>
      <x:c r="D20" s="88" t="str">
        <x:v>无</x:v>
      </x:c>
      <x:c r="E20" s="88" t="str">
        <x:v>中</x:v>
      </x:c>
      <x:c r="F20" s="88" t="str">
        <x:v>无直接方法规则</x:v>
      </x:c>
      <x:c r="G20" s="88" t="str">
        <x:v>三个轴同时展示；检查摄入/恢复，不只奖励体重下降</x:v>
      </x:c>
      <x:c r="H20" s="88" t="str">
        <x:v>可能间接</x:v>
      </x:c>
      <x:c r="I20" s="88" t="str">
        <x:v>不自动</x:v>
      </x:c>
      <x:c r="J20" s="88" t="str">
        <x:v>不变</x:v>
      </x:c>
      <x:c r="K20" s="88" t="str">
        <x:v>核心</x:v>
      </x:c>
      <x:c r="L20" s="88" t="str">
        <x:v>review inputs</x:v>
      </x:c>
      <x:c r="M20" s="88" t="str">
        <x:v>体重与训练表现并列解释</x:v>
      </x:c>
      <x:c r="N20" s="88" t="str">
        <x:v>产品策略</x:v>
      </x:c>
      <x:c r="O20" s="88" t="str">
        <x:v>EV-ADAPT-016</x:v>
      </x:c>
      <x:c r="P20" s="88" t="str">
        <x:v>是</x:v>
      </x:c>
      <x:c r="Q20" s="88" t="str">
        <x:v>生效</x:v>
      </x:c>
    </x:row>
    <x:row r="21">
      <x:c r="A21" s="88" t="str">
        <x:v>SCN-017</x:v>
      </x:c>
      <x:c r="B21" s="88" t="str">
        <x:v>主动挑战个人最好成绩</x:v>
      </x:c>
      <x:c r="C21" s="88" t="str">
        <x:v>user_intent=challenge</x:v>
      </x:c>
      <x:c r="D21" s="88" t="str">
        <x:v>挑战确认</x:v>
      </x:c>
      <x:c r="E21" s="88" t="str">
        <x:v>中</x:v>
      </x:c>
      <x:c r="F21" s="88" t="str">
        <x:v>方法阶段逻辑明确但挑战行为未明确</x:v>
      </x:c>
      <x:c r="G21" s="88" t="str">
        <x:v>保存挑战结果；与方法完成情况分开；不自动进阶</x:v>
      </x:c>
      <x:c r="H21" s="88" t="str">
        <x:v>可能</x:v>
      </x:c>
      <x:c r="I21" s="88" t="str">
        <x:v>默认不变</x:v>
      </x:c>
      <x:c r="J21" s="88" t="str">
        <x:v>不变</x:v>
      </x:c>
      <x:c r="K21" s="88" t="str">
        <x:v>增加负荷上下文</x:v>
      </x:c>
      <x:c r="L21" s="88" t="str">
        <x:v>training_deviations + set_executions</x:v>
      </x:c>
      <x:c r="M21" s="88" t="str">
        <x:v>“额外挑战”独立显示</x:v>
      </x:c>
      <x:c r="N21" s="88" t="str">
        <x:v>产品策略</x:v>
      </x:c>
      <x:c r="O21" s="88" t="str">
        <x:v>EV-ADAPT-007</x:v>
      </x:c>
      <x:c r="P21" s="88" t="str">
        <x:v>是</x:v>
      </x:c>
      <x:c r="Q21" s="88" t="str">
        <x:v>生效</x:v>
      </x:c>
    </x:row>
    <x:row r="22">
      <x:c r="A22" s="88" t="str">
        <x:v>SCN-018</x:v>
      </x:c>
      <x:c r="B22" s="88" t="str">
        <x:v>连续觉得计划太轻</x:v>
      </x:c>
      <x:c r="C22" s="88" t="str">
        <x:v>近期多次余量高于目标</x:v>
      </x:c>
      <x:c r="D22" s="88" t="str">
        <x:v>无</x:v>
      </x:c>
      <x:c r="E22" s="88" t="str">
        <x:v>低</x:v>
      </x:c>
      <x:c r="F22" s="88" t="str">
        <x:v>动态调重明确，连续阈值未明确</x:v>
      </x:c>
      <x:c r="G22" s="88" t="str">
        <x:v>逐步调高参考重量；不等于方法阶段进阶</x:v>
      </x:c>
      <x:c r="H22" s="88" t="str">
        <x:v>增加</x:v>
      </x:c>
      <x:c r="I22" s="88" t="str">
        <x:v>不自动</x:v>
      </x:c>
      <x:c r="J22" s="88" t="str">
        <x:v>不变</x:v>
      </x:c>
      <x:c r="K22" s="88" t="str">
        <x:v>无</x:v>
      </x:c>
      <x:c r="L22" s="88" t="str">
        <x:v>user_coaching_signals + adaptation_decisions</x:v>
      </x:c>
      <x:c r="M22" s="88" t="str">
        <x:v>减少重复询问</x:v>
      </x:c>
      <x:c r="N22" s="88" t="str">
        <x:v>产品适应策略</x:v>
      </x:c>
      <x:c r="O22" s="88" t="str">
        <x:v>EV-ADAPT-008</x:v>
      </x:c>
      <x:c r="P22" s="88" t="str">
        <x:v>否</x:v>
      </x:c>
      <x:c r="Q22" s="88" t="str">
        <x:v>待确认</x:v>
      </x:c>
    </x:row>
    <x:row r="23">
      <x:c r="A23" s="88" t="str">
        <x:v>SCN-019</x:v>
      </x:c>
      <x:c r="B23" s="88" t="str">
        <x:v>连续达不到计划</x:v>
      </x:c>
      <x:c r="C23" s="88" t="str">
        <x:v>近期多次未达目标</x:v>
      </x:c>
      <x:c r="D23" s="88" t="str">
        <x:v>状态/恢复</x:v>
      </x:c>
      <x:c r="E23" s="88" t="str">
        <x:v>中</x:v>
      </x:c>
      <x:c r="F23" s="88" t="str">
        <x:v>未明确回退阈值</x:v>
      </x:c>
      <x:c r="G23" s="88" t="str">
        <x:v>先重量校准→恢复→再由Progression决定repeat/regress</x:v>
      </x:c>
      <x:c r="H23" s="88" t="str">
        <x:v>降低候选</x:v>
      </x:c>
      <x:c r="I23" s="88" t="str">
        <x:v>可能</x:v>
      </x:c>
      <x:c r="J23" s="88" t="str">
        <x:v>不变</x:v>
      </x:c>
      <x:c r="K23" s="88" t="str">
        <x:v>核心</x:v>
      </x:c>
      <x:c r="L23" s="88" t="str">
        <x:v>coaching_signals + adaptation_decisions</x:v>
      </x:c>
      <x:c r="M23" s="88" t="str">
        <x:v>不因一次差表现直接降级</x:v>
      </x:c>
      <x:c r="N23" s="88" t="str">
        <x:v>产品适应策略</x:v>
      </x:c>
      <x:c r="O23" s="88" t="str">
        <x:v>EV-ADAPT-009</x:v>
      </x:c>
      <x:c r="P23" s="88" t="str">
        <x:v>是</x:v>
      </x:c>
      <x:c r="Q23" s="88" t="str">
        <x:v>生效</x:v>
      </x:c>
    </x:row>
    <x:row r="24">
      <x:c r="A24" s="88" t="str">
        <x:v>SCN-020</x:v>
      </x:c>
      <x:c r="B24" s="88" t="str">
        <x:v>生病/出差/工作忙暂停</x:v>
      </x:c>
      <x:c r="C24" s="88" t="str">
        <x:v>用户主动暂停</x:v>
      </x:c>
      <x:c r="D24" s="88" t="str">
        <x:v>原因</x:v>
      </x:c>
      <x:c r="E24" s="88" t="str">
        <x:v>中</x:v>
      </x:c>
      <x:c r="F24" s="88" t="str">
        <x:v>频率个体化原则支持暂停，不含产品状态机</x:v>
      </x:c>
      <x:c r="G24" s="88" t="str">
        <x:v>暂停method enrollment；恢复后按中断时长重新校准</x:v>
      </x:c>
      <x:c r="H24" s="88" t="str">
        <x:v>恢复后校准</x:v>
      </x:c>
      <x:c r="I24" s="88" t="str">
        <x:v>历史保留</x:v>
      </x:c>
      <x:c r="J24" s="88" t="str">
        <x:v>next split保留</x:v>
      </x:c>
      <x:c r="K24" s="88" t="str">
        <x:v>重新评估</x:v>
      </x:c>
      <x:c r="L24" s="88" t="str">
        <x:v>method_enrollment pause metadata</x:v>
      </x:c>
      <x:c r="M24" s="88" t="str">
        <x:v>暂停/继续入口</x:v>
      </x:c>
      <x:c r="N24" s="88" t="str">
        <x:v>产品适应策略</x:v>
      </x:c>
      <x:c r="O24" s="88" t="str">
        <x:v>EV-ADAPT-020</x:v>
      </x:c>
      <x:c r="P24" s="88" t="str">
        <x:v>是</x:v>
      </x:c>
      <x:c r="Q24" s="88" t="str">
        <x:v>生效</x:v>
      </x:c>
    </x:row>
    <x:row r="25">
      <x:c r="A25" s="88" t="str">
        <x:v>SCN-021</x:v>
      </x:c>
      <x:c r="B25" s="88" t="str">
        <x:v>第二天补记昨天训练</x:v>
      </x:c>
      <x:c r="C25" s="88" t="str">
        <x:v>created_at晚于log_date</x:v>
      </x:c>
      <x:c r="D25" s="88" t="str">
        <x:v>实际日期</x:v>
      </x:c>
      <x:c r="E25" s="88" t="str">
        <x:v>低</x:v>
      </x:c>
      <x:c r="F25" s="88" t="str">
        <x:v>无</x:v>
      </x:c>
      <x:c r="G25" s="88" t="str">
        <x:v>按log_date归属History/Weekly；重算进阶和复盘</x:v>
      </x:c>
      <x:c r="H25" s="88" t="str">
        <x:v>按实际</x:v>
      </x:c>
      <x:c r="I25" s="88" t="str">
        <x:v>按重算</x:v>
      </x:c>
      <x:c r="J25" s="88" t="str">
        <x:v>按实际session顺序</x:v>
      </x:c>
      <x:c r="K25" s="88" t="str">
        <x:v>重算</x:v>
      </x:c>
      <x:c r="L25" s="88" t="str">
        <x:v>workout_sessions + events</x:v>
      </x:c>
      <x:c r="M25" s="88" t="str">
        <x:v>明确“补记”</x:v>
      </x:c>
      <x:c r="N25" s="88" t="str">
        <x:v>产品策略</x:v>
      </x:c>
      <x:c r="O25" s="88" t="str">
        <x:v>EV-ADAPT-021</x:v>
      </x:c>
      <x:c r="P25" s="88" t="str">
        <x:v>是</x:v>
      </x:c>
      <x:c r="Q25" s="88" t="str">
        <x:v>生效</x:v>
      </x:c>
    </x:row>
  </x:sheetData>
  <x:mergeCells>
    <x:mergeCell ref="A1:Q1"/>
    <x:mergeCell ref="A2:Q2"/>
  </x:mergeCells>
  <x:conditionalFormatting sqref="Q5:Q200">
    <x:cfRule type="expression" dxfId="9" priority="1">
      <x:formula>$Q5="生效"</x:formula>
    </x:cfRule>
    <x:cfRule type="expression" dxfId="10" priority="2">
      <x:formula>OR($Q5="待确认",$Q5="未解决",$Q5="待补证据")</x:formula>
    </x:cfRule>
    <x:cfRule type="expression" dxfId="11" priority="3">
      <x:formula>OR($Q5="不导入",$Q5="归档")</x:formula>
    </x:cfRule>
  </x:conditionalFormatting>
  <x:dataValidations count="3">
    <x:dataValidation type="list" sqref="N5:N200">
      <x:formula1>"方法原文明示,方法原文推导+产品策略,方法原则+产品策略,方法原文明示+产品策略,方法约束+产品策略,产品适应策略,产品策略,混合"</x:formula1>
    </x:dataValidation>
    <x:dataValidation type="list" sqref="P5:P200">
      <x:formula1>"是,否"</x:formula1>
    </x:dataValidation>
    <x:dataValidation type="list" sqref="Q5:Q200">
      <x:formula1>"生效,待确认,待补证据,不导入,归档"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7fa2bf70a864730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28" hidden="0" customWidth="1"/>
    <x:col min="4" max="4" width="18" hidden="0" customWidth="1"/>
    <x:col min="5" max="5" width="38" hidden="0" customWidth="1"/>
    <x:col min="6" max="6" width="46" hidden="0" customWidth="1"/>
    <x:col min="7" max="7" width="20" hidden="0" customWidth="1"/>
    <x:col min="8" max="8" width="12" hidden="0" customWidth="1"/>
    <x:col min="9" max="9" width="20" hidden="0" customWidth="1"/>
    <x:col min="10" max="10" width="14" hidden="0" customWidth="1"/>
    <x:col min="11" max="11" width="14" hidden="0" customWidth="1"/>
    <x:col min="12" max="12" width="32" hidden="0" customWidth="1"/>
  </x:cols>
  <x:sheetData>
    <x:row r="1" ht="28" customHeight="1">
      <x:c r="A1" s="81" t="str">
        <x:v>Rule Evidence Index｜每条方法规则都要能回原文</x:v>
      </x:c>
      <x:c r="B1" s="81"/>
      <x:c r="C1" s="81"/>
      <x:c r="D1" s="81"/>
      <x:c r="E1" s="81"/>
      <x:c r="F1" s="81"/>
      <x:c r="G1" s="81"/>
      <x:c r="H1" s="81"/>
      <x:c r="I1" s="81"/>
      <x:c r="J1" s="81"/>
      <x:c r="K1" s="81"/>
      <x:c r="L1" s="81"/>
    </x:row>
    <x:row r="2" ht="28" customHeight="1">
      <x:c r="A2" s="34" t="str">
        <x:v>方法真值必须有证据；产品适应策略必须明确标“产品策略”，不能伪装成原方法。</x:v>
      </x:c>
      <x:c r="B2" s="34"/>
      <x:c r="C2" s="34"/>
      <x:c r="D2" s="34"/>
      <x:c r="E2" s="34"/>
      <x:c r="F2" s="34"/>
      <x:c r="G2" s="34"/>
      <x:c r="H2" s="34"/>
      <x:c r="I2" s="34"/>
      <x:c r="J2" s="34"/>
      <x:c r="K2" s="34"/>
      <x:c r="L2" s="34"/>
    </x:row>
    <x:row r="3" ht="28" customHeight="1"/>
    <x:row r="4" ht="28" customHeight="1">
      <x:c r="A4" s="44" t="str">
        <x:v>EvidenceID</x:v>
      </x:c>
      <x:c r="B4" s="44" t="str">
        <x:v>关联Rule/Scenario</x:v>
      </x:c>
      <x:c r="C4" s="44" t="str">
        <x:v>来源文件</x:v>
      </x:c>
      <x:c r="D4" s="44" t="str">
        <x:v>来源类型</x:v>
      </x:c>
      <x:c r="E4" s="44" t="str">
        <x:v>定位关键词/段落</x:v>
      </x:c>
      <x:c r="F4" s="44" t="str">
        <x:v>证据摘要</x:v>
      </x:c>
      <x:c r="G4" s="44" t="str">
        <x:v>明确程度</x:v>
      </x:c>
      <x:c r="H4" s="44" t="str">
        <x:v>置信度</x:v>
      </x:c>
      <x:c r="I4" s="44" t="str">
        <x:v>建议RAG Topic</x:v>
      </x:c>
      <x:c r="J4" s="44" t="str">
        <x:v>是否发布必需</x:v>
      </x:c>
      <x:c r="K4" s="44" t="str">
        <x:v>证据状态</x:v>
      </x:c>
      <x:c r="L4" s="44" t="str">
        <x:v>备注</x:v>
      </x:c>
    </x:row>
    <x:row r="5">
      <x:c r="A5" s="88" t="str">
        <x:v>EV-M003</x:v>
      </x:c>
      <x:c r="B5" s="88" t="str">
        <x:v>M003</x:v>
      </x:c>
      <x:c r="C5" s="88" t="str">
        <x:v>三分化原始txt</x:v>
      </x:c>
      <x:c r="D5" s="88" t="str">
        <x:v>方法原文</x:v>
      </x:c>
      <x:c r="E5" s="88" t="str">
        <x:v>复合动作比较重…不建议做到力竭</x:v>
      </x:c>
      <x:c r="F5" s="88" t="str">
        <x:v>重型复合动作通常保留余量，避免额外恢复负担</x:v>
      </x:c>
      <x:c r="G5" s="88" t="str">
        <x:v>明示</x:v>
      </x:c>
      <x:c r="H5" s="88" t="str">
        <x:v>高</x:v>
      </x:c>
      <x:c r="I5" s="88" t="str">
        <x:v>failure</x:v>
      </x:c>
      <x:c r="J5" s="88" t="str">
        <x:v>是</x:v>
      </x:c>
      <x:c r="K5" s="88" t="str">
        <x:v>已定位</x:v>
      </x:c>
      <x:c r="L5" s="88" t="str"/>
    </x:row>
    <x:row r="6">
      <x:c r="A6" s="88" t="str">
        <x:v>EV-M004</x:v>
      </x:c>
      <x:c r="B6" s="88" t="str">
        <x:v>M004</x:v>
      </x:c>
      <x:c r="C6" s="88" t="str">
        <x:v>三分化原始txt</x:v>
      </x:c>
      <x:c r="D6" s="88" t="str">
        <x:v>方法原文</x:v>
      </x:c>
      <x:c r="E6" s="88" t="str">
        <x:v>单关节…重量不重…做到力竭</x:v>
      </x:c>
      <x:c r="F6" s="88" t="str">
        <x:v>低重量、难借力的单关节动作可使用力竭策略</x:v>
      </x:c>
      <x:c r="G6" s="88" t="str">
        <x:v>明示</x:v>
      </x:c>
      <x:c r="H6" s="88" t="str">
        <x:v>高</x:v>
      </x:c>
      <x:c r="I6" s="88" t="str">
        <x:v>failure</x:v>
      </x:c>
      <x:c r="J6" s="88" t="str">
        <x:v>是</x:v>
      </x:c>
      <x:c r="K6" s="88" t="str">
        <x:v>已定位</x:v>
      </x:c>
      <x:c r="L6" s="88" t="str"/>
    </x:row>
    <x:row r="7">
      <x:c r="A7" s="88" t="str">
        <x:v>EV-M006</x:v>
      </x:c>
      <x:c r="B7" s="88" t="str">
        <x:v>M006 / CAL-003</x:v>
      </x:c>
      <x:c r="C7" s="88" t="str">
        <x:v>三分化原始txt</x:v>
      </x:c>
      <x:c r="D7" s="88" t="str">
        <x:v>方法原文</x:v>
      </x:c>
      <x:c r="E7" s="88" t="str">
        <x:v>两个余量…RPE8</x:v>
      </x:c>
      <x:c r="F7" s="88" t="str">
        <x:v>RPE8被解释为大约保留2次</x:v>
      </x:c>
      <x:c r="G7" s="88" t="str">
        <x:v>明示</x:v>
      </x:c>
      <x:c r="H7" s="88" t="str">
        <x:v>高</x:v>
      </x:c>
      <x:c r="I7" s="88" t="str">
        <x:v>prescription</x:v>
      </x:c>
      <x:c r="J7" s="88" t="str">
        <x:v>是</x:v>
      </x:c>
      <x:c r="K7" s="88" t="str">
        <x:v>已定位</x:v>
      </x:c>
      <x:c r="L7" s="88" t="str"/>
    </x:row>
    <x:row r="8">
      <x:c r="A8" s="88" t="str">
        <x:v>EV-M007</x:v>
      </x:c>
      <x:c r="B8" s="88" t="str">
        <x:v>M007</x:v>
      </x:c>
      <x:c r="C8" s="88" t="str">
        <x:v>三分化原始txt</x:v>
      </x:c>
      <x:c r="D8" s="88" t="str">
        <x:v>方法原文</x:v>
      </x:c>
      <x:c r="E8" s="88" t="str">
        <x:v>RM…力竭次数…动态</x:v>
      </x:c>
      <x:c r="F8" s="88" t="str">
        <x:v>RM是力竭次数；同目标下不同组可以调整重量</x:v>
      </x:c>
      <x:c r="G8" s="88" t="str">
        <x:v>明示</x:v>
      </x:c>
      <x:c r="H8" s="88" t="str">
        <x:v>高</x:v>
      </x:c>
      <x:c r="I8" s="88" t="str">
        <x:v>prescription</x:v>
      </x:c>
      <x:c r="J8" s="88" t="str">
        <x:v>是</x:v>
      </x:c>
      <x:c r="K8" s="88" t="str">
        <x:v>已定位</x:v>
      </x:c>
      <x:c r="L8" s="88" t="str"/>
    </x:row>
    <x:row r="9">
      <x:c r="A9" s="88" t="str">
        <x:v>EV-M008</x:v>
      </x:c>
      <x:c r="B9" s="88" t="str">
        <x:v>M008</x:v>
      </x:c>
      <x:c r="C9" s="88" t="str">
        <x:v>三分化原始txt</x:v>
      </x:c>
      <x:c r="D9" s="88" t="str">
        <x:v>方法原文</x:v>
      </x:c>
      <x:c r="E9" s="88" t="str">
        <x:v>最终都要服务于训练计划</x:v>
      </x:c>
      <x:c r="F9" s="88" t="str">
        <x:v>组间休息根据训练强度和个人能力调整，以完成计划质量为目标</x:v>
      </x:c>
      <x:c r="G9" s="88" t="str">
        <x:v>明示</x:v>
      </x:c>
      <x:c r="H9" s="88" t="str">
        <x:v>高</x:v>
      </x:c>
      <x:c r="I9" s="88" t="str">
        <x:v>rest</x:v>
      </x:c>
      <x:c r="J9" s="88" t="str">
        <x:v>是</x:v>
      </x:c>
      <x:c r="K9" s="88" t="str">
        <x:v>已定位</x:v>
      </x:c>
      <x:c r="L9" s="88" t="str"/>
    </x:row>
    <x:row r="10">
      <x:c r="A10" s="88" t="str">
        <x:v>EV-REC-001</x:v>
      </x:c>
      <x:c r="B10" s="88" t="str">
        <x:v>M009/M010/SCN-009</x:v>
      </x:c>
      <x:c r="C10" s="88" t="str">
        <x:v>三分化原始txt</x:v>
      </x:c>
      <x:c r="D10" s="88" t="str">
        <x:v>方法原文</x:v>
      </x:c>
      <x:c r="E10" s="88" t="str">
        <x:v>三分化是不是练三天歇一天 不一定</x:v>
      </x:c>
      <x:c r="F10" s="88" t="str">
        <x:v>训练频率按恢复决定；疲劳时即使只练两天也可以休息</x:v>
      </x:c>
      <x:c r="G10" s="88" t="str">
        <x:v>明示</x:v>
      </x:c>
      <x:c r="H10" s="88" t="str">
        <x:v>高</x:v>
      </x:c>
      <x:c r="I10" s="88" t="str">
        <x:v>recovery</x:v>
      </x:c>
      <x:c r="J10" s="88" t="str">
        <x:v>是</x:v>
      </x:c>
      <x:c r="K10" s="88" t="str">
        <x:v>已定位</x:v>
      </x:c>
      <x:c r="L10" s="88" t="str"/>
    </x:row>
    <x:row r="11">
      <x:c r="A11" s="88" t="str">
        <x:v>EV-BP-001</x:v>
      </x:c>
      <x:c r="B11" s="88" t="str">
        <x:v>P-BP-01</x:v>
      </x:c>
      <x:c r="C11" s="88" t="str">
        <x:v>三分化原始txt</x:v>
      </x:c>
      <x:c r="D11" s="88" t="str">
        <x:v>方法原文</x:v>
      </x:c>
      <x:c r="E11" s="88" t="str">
        <x:v>热身15；后边正式12次十次八次</x:v>
      </x:c>
      <x:c r="F11" s="88" t="str">
        <x:v>卧推首轮热身15，工作组12/10/8</x:v>
      </x:c>
      <x:c r="G11" s="88" t="str">
        <x:v>明示</x:v>
      </x:c>
      <x:c r="H11" s="88" t="str">
        <x:v>高</x:v>
      </x:c>
      <x:c r="I11" s="88" t="str">
        <x:v>prescription</x:v>
      </x:c>
      <x:c r="J11" s="88" t="str">
        <x:v>是</x:v>
      </x:c>
      <x:c r="K11" s="88" t="str">
        <x:v>已定位</x:v>
      </x:c>
      <x:c r="L11" s="88" t="str"/>
    </x:row>
    <x:row r="12">
      <x:c r="A12" s="88" t="str">
        <x:v>EV-BP-002</x:v>
      </x:c>
      <x:c r="B12" s="88" t="str">
        <x:v>P-BP-02</x:v>
      </x:c>
      <x:c r="C12" s="88" t="str">
        <x:v>三分化原始txt</x:v>
      </x:c>
      <x:c r="D12" s="88" t="str">
        <x:v>方法原文</x:v>
      </x:c>
      <x:c r="E12" s="88" t="str">
        <x:v>下一次…把十次换成八次</x:v>
      </x:c>
      <x:c r="F12" s="88" t="str">
        <x:v>卧推下一次将10次组换成8次</x:v>
      </x:c>
      <x:c r="G12" s="88" t="str">
        <x:v>明示</x:v>
      </x:c>
      <x:c r="H12" s="88" t="str">
        <x:v>高</x:v>
      </x:c>
      <x:c r="I12" s="88" t="str">
        <x:v>progression</x:v>
      </x:c>
      <x:c r="J12" s="88" t="str">
        <x:v>是</x:v>
      </x:c>
      <x:c r="K12" s="88" t="str">
        <x:v>已定位</x:v>
      </x:c>
      <x:c r="L12" s="88" t="str"/>
    </x:row>
    <x:row r="13">
      <x:c r="A13" s="88" t="str">
        <x:v>EV-BP-003</x:v>
      </x:c>
      <x:c r="B13" s="88" t="str">
        <x:v>P-BP-03/P-BP-04</x:v>
      </x:c>
      <x:c r="C13" s="88" t="str">
        <x:v>三分化原始txt</x:v>
      </x:c>
      <x:c r="D13" s="88" t="str">
        <x:v>方法原文</x:v>
      </x:c>
      <x:c r="E13" s="88" t="str">
        <x:v>三个八次…过渡到四个八次</x:v>
      </x:c>
      <x:c r="F13" s="88" t="str">
        <x:v>卧推从3×8推进到4×8</x:v>
      </x:c>
      <x:c r="G13" s="88" t="str">
        <x:v>明示</x:v>
      </x:c>
      <x:c r="H13" s="88" t="str">
        <x:v>高</x:v>
      </x:c>
      <x:c r="I13" s="88" t="str">
        <x:v>progression</x:v>
      </x:c>
      <x:c r="J13" s="88" t="str">
        <x:v>是</x:v>
      </x:c>
      <x:c r="K13" s="88" t="str">
        <x:v>已定位</x:v>
      </x:c>
      <x:c r="L13" s="88" t="str"/>
    </x:row>
    <x:row r="14">
      <x:c r="A14" s="88" t="str">
        <x:v>EV-BP-004</x:v>
      </x:c>
      <x:c r="B14" s="88" t="str">
        <x:v>P-BP-05~09</x:v>
      </x:c>
      <x:c r="C14" s="88" t="str">
        <x:v>三分化原始txt</x:v>
      </x:c>
      <x:c r="D14" s="88" t="str">
        <x:v>方法原文</x:v>
      </x:c>
      <x:c r="E14" s="88" t="str">
        <x:v>两组六次 三组六次 四组六次…两组五次</x:v>
      </x:c>
      <x:c r="F14" s="88" t="str">
        <x:v>卧推从2×6→3×6→4×6，再2×5→3×5→4×5，仍约RPE8</x:v>
      </x:c>
      <x:c r="G14" s="88" t="str">
        <x:v>明示</x:v>
      </x:c>
      <x:c r="H14" s="88" t="str">
        <x:v>高</x:v>
      </x:c>
      <x:c r="I14" s="88" t="str">
        <x:v>progression</x:v>
      </x:c>
      <x:c r="J14" s="88" t="str">
        <x:v>是</x:v>
      </x:c>
      <x:c r="K14" s="88" t="str">
        <x:v>已定位</x:v>
      </x:c>
      <x:c r="L14" s="88" t="str"/>
    </x:row>
    <x:row r="15">
      <x:c r="A15" s="88" t="str">
        <x:v>EV-INC-001</x:v>
      </x:c>
      <x:c r="B15" s="88" t="str">
        <x:v>P-INC-01~03</x:v>
      </x:c>
      <x:c r="C15" s="88" t="str">
        <x:v>三分化原始txt</x:v>
      </x:c>
      <x:c r="D15" s="88" t="str">
        <x:v>方法原文</x:v>
      </x:c>
      <x:c r="E15" s="88" t="str">
        <x:v>四组12次…两三次富余量…最多两组力竭</x:v>
      </x:c>
      <x:c r="F15" s="88" t="str">
        <x:v>上斜哑铃从4×12留余量，逐步增加接近/力竭组，最多两组后再考虑加重</x:v>
      </x:c>
      <x:c r="G15" s="88" t="str">
        <x:v>明示</x:v>
      </x:c>
      <x:c r="H15" s="88" t="str">
        <x:v>高</x:v>
      </x:c>
      <x:c r="I15" s="88" t="str">
        <x:v>progression</x:v>
      </x:c>
      <x:c r="J15" s="88" t="str">
        <x:v>是</x:v>
      </x:c>
      <x:c r="K15" s="88" t="str">
        <x:v>已定位</x:v>
      </x:c>
      <x:c r="L15" s="88" t="str"/>
    </x:row>
    <x:row r="16">
      <x:c r="A16" s="88" t="str">
        <x:v>EV-DIP-001</x:v>
      </x:c>
      <x:c r="B16" s="88" t="str">
        <x:v>Day1双杠</x:v>
      </x:c>
      <x:c r="C16" s="88" t="str">
        <x:v>三分化原始txt</x:v>
      </x:c>
      <x:c r="D16" s="88" t="str">
        <x:v>方法原文</x:v>
      </x:c>
      <x:c r="E16" s="88" t="str">
        <x:v>四组12次或到力竭都可以…退阶</x:v>
      </x:c>
      <x:c r="F16" s="88" t="str">
        <x:v>双杠可按能力做，允许力竭，并明确存在退阶</x:v>
      </x:c>
      <x:c r="G16" s="88" t="str">
        <x:v>明示</x:v>
      </x:c>
      <x:c r="H16" s="88" t="str">
        <x:v>高</x:v>
      </x:c>
      <x:c r="I16" s="88" t="str">
        <x:v>prescription</x:v>
      </x:c>
      <x:c r="J16" s="88" t="str">
        <x:v>是</x:v>
      </x:c>
      <x:c r="K16" s="88" t="str">
        <x:v>已定位</x:v>
      </x:c>
      <x:c r="L16" s="88" t="str">
        <x:v>退阶规则已由原始合集明确；官方胸日跟练作为示范，不再是规则blocker。</x:v>
      </x:c>
    </x:row>
    <x:row r="17">
      <x:c r="A17" s="88" t="str">
        <x:v>EV-TRI-001</x:v>
      </x:c>
      <x:c r="B17" s="88" t="str">
        <x:v>P-TRI-01~04</x:v>
      </x:c>
      <x:c r="C17" s="88" t="str">
        <x:v>三分化原始txt</x:v>
      </x:c>
      <x:c r="D17" s="88" t="str">
        <x:v>方法原文</x:v>
      </x:c>
      <x:c r="E17" s="88" t="str">
        <x:v>四组15…加入一组12…四组12…最后两组力竭</x:v>
      </x:c>
      <x:c r="F17" s="88" t="str">
        <x:v>仰卧臂屈伸15次组逐步换成12次，后续末两组力竭，再加重</x:v>
      </x:c>
      <x:c r="G17" s="88" t="str">
        <x:v>明示</x:v>
      </x:c>
      <x:c r="H17" s="88" t="str">
        <x:v>高</x:v>
      </x:c>
      <x:c r="I17" s="88" t="str">
        <x:v>progression</x:v>
      </x:c>
      <x:c r="J17" s="88" t="str">
        <x:v>是</x:v>
      </x:c>
      <x:c r="K17" s="88" t="str">
        <x:v>已定位</x:v>
      </x:c>
      <x:c r="L17" s="88" t="str"/>
    </x:row>
    <x:row r="18">
      <x:c r="A18" s="88" t="str">
        <x:v>EV-LATRAISE-001</x:v>
      </x:c>
      <x:c r="B18" s="88" t="str">
        <x:v>Day1侧平举</x:v>
      </x:c>
      <x:c r="C18" s="88" t="str">
        <x:v>三分化原始txt</x:v>
      </x:c>
      <x:c r="D18" s="88" t="str">
        <x:v>方法原文</x:v>
      </x:c>
      <x:c r="E18" s="88" t="str">
        <x:v>三组10+10…歇五秒…基本到力竭</x:v>
      </x:c>
      <x:c r="F18" s="88" t="str">
        <x:v>侧平举变式3组10+10，5秒短歇，基本到力竭</x:v>
      </x:c>
      <x:c r="G18" s="88" t="str">
        <x:v>明示</x:v>
      </x:c>
      <x:c r="H18" s="88" t="str">
        <x:v>高</x:v>
      </x:c>
      <x:c r="I18" s="88" t="str">
        <x:v>prescription</x:v>
      </x:c>
      <x:c r="J18" s="88" t="str">
        <x:v>是</x:v>
      </x:c>
      <x:c r="K18" s="88" t="str">
        <x:v>已定位</x:v>
      </x:c>
      <x:c r="L18" s="88" t="str">
        <x:v>Canonical名称已由官方视频收口为Y字侧平举。</x:v>
      </x:c>
    </x:row>
    <x:row r="19">
      <x:c r="A19" s="88" t="str">
        <x:v>EV-PULL-001</x:v>
      </x:c>
      <x:c r="B19" s="88" t="str">
        <x:v>P-LAT-01~02</x:v>
      </x:c>
      <x:c r="C19" s="88" t="str">
        <x:v>三分化原始txt</x:v>
      </x:c>
      <x:c r="D19" s="88" t="str">
        <x:v>方法原文</x:v>
      </x:c>
      <x:c r="E19" s="88" t="str">
        <x:v>前三组12次不到力竭…最后10到力竭歇五秒再5</x:v>
      </x:c>
      <x:c r="F19" s="88" t="str">
        <x:v>单手绳索下拉前三12非力竭，末10+5力竭；后续增加10+5再考虑加重</x:v>
      </x:c>
      <x:c r="G19" s="88" t="str">
        <x:v>明示</x:v>
      </x:c>
      <x:c r="H19" s="88" t="str">
        <x:v>高</x:v>
      </x:c>
      <x:c r="I19" s="88" t="str">
        <x:v>progression</x:v>
      </x:c>
      <x:c r="J19" s="88" t="str">
        <x:v>是</x:v>
      </x:c>
      <x:c r="K19" s="88" t="str">
        <x:v>已定位</x:v>
      </x:c>
      <x:c r="L19" s="88" t="str"/>
    </x:row>
    <x:row r="20">
      <x:c r="A20" s="88" t="str">
        <x:v>EV-PULL-002</x:v>
      </x:c>
      <x:c r="B20" s="88" t="str">
        <x:v>Day2对握下拉</x:v>
      </x:c>
      <x:c r="C20" s="88" t="str">
        <x:v>三分化原始txt</x:v>
      </x:c>
      <x:c r="D20" s="88" t="str">
        <x:v>方法原文</x:v>
      </x:c>
      <x:c r="E20" s="88" t="str">
        <x:v>四组…12次到八次…感觉不好全12</x:v>
      </x:c>
      <x:c r="F20" s="88" t="str">
        <x:v>对握下拉4组8–12；控制较差时更多12次，熟练后可更多8次并逐步加重</x:v>
      </x:c>
      <x:c r="G20" s="88" t="str">
        <x:v>明示</x:v>
      </x:c>
      <x:c r="H20" s="88" t="str">
        <x:v>高</x:v>
      </x:c>
      <x:c r="I20" s="88" t="str">
        <x:v>prescription</x:v>
      </x:c>
      <x:c r="J20" s="88" t="str">
        <x:v>是</x:v>
      </x:c>
      <x:c r="K20" s="88" t="str">
        <x:v>已定位</x:v>
      </x:c>
      <x:c r="L20" s="88" t="str"/>
    </x:row>
    <x:row r="21">
      <x:c r="A21" s="88" t="str">
        <x:v>EV-ROW-001</x:v>
      </x:c>
      <x:c r="B21" s="88" t="str">
        <x:v>P-ROW-01~03</x:v>
      </x:c>
      <x:c r="C21" s="88" t="str">
        <x:v>三分化原始txt</x:v>
      </x:c>
      <x:c r="D21" s="88" t="str">
        <x:v>方法原文</x:v>
      </x:c>
      <x:c r="E21" s="88" t="str">
        <x:v>前三组10…最后10到力竭再加5…第二周再加…第三周</x:v>
      </x:c>
      <x:c r="F21" s="88" t="str">
        <x:v>单手器械划船增加10+5力竭组后，再减组加重循环</x:v>
      </x:c>
      <x:c r="G21" s="88" t="str">
        <x:v>明示</x:v>
      </x:c>
      <x:c r="H21" s="88" t="str">
        <x:v>高</x:v>
      </x:c>
      <x:c r="I21" s="88" t="str">
        <x:v>progression</x:v>
      </x:c>
      <x:c r="J21" s="88" t="str">
        <x:v>是</x:v>
      </x:c>
      <x:c r="K21" s="88" t="str">
        <x:v>已定位</x:v>
      </x:c>
      <x:c r="L21" s="88" t="str"/>
    </x:row>
    <x:row r="22">
      <x:c r="A22" s="88" t="str">
        <x:v>EV-ROW-002</x:v>
      </x:c>
      <x:c r="B22" s="88" t="str">
        <x:v>Day2开肘划船</x:v>
      </x:c>
      <x:c r="C22" s="88" t="str">
        <x:v>三分化原始txt</x:v>
      </x:c>
      <x:c r="D22" s="88" t="str">
        <x:v>方法原文</x:v>
      </x:c>
      <x:c r="E22" s="88" t="str">
        <x:v>不能抡呀甩呀…肩胛内收</x:v>
      </x:c>
      <x:c r="F22" s="88" t="str">
        <x:v>开肘划船强调控制和肩胛内收，不应借力甩动</x:v>
      </x:c>
      <x:c r="G22" s="88" t="str">
        <x:v>明示</x:v>
      </x:c>
      <x:c r="H22" s="88" t="str">
        <x:v>高</x:v>
      </x:c>
      <x:c r="I22" s="88" t="str">
        <x:v>technique</x:v>
      </x:c>
      <x:c r="J22" s="88" t="str">
        <x:v>部分</x:v>
      </x:c>
      <x:c r="K22" s="88" t="str">
        <x:v>已定位</x:v>
      </x:c>
      <x:c r="L22" s="88" t="str">
        <x:v>冲突已解决：采用详细动作段落“中下斜方肌/肩胛内收”。</x:v>
      </x:c>
    </x:row>
    <x:row r="23">
      <x:c r="A23" s="88" t="str">
        <x:v>EV-LOWER-001</x:v>
      </x:c>
      <x:c r="B23" s="88" t="str">
        <x:v>Day3</x:v>
      </x:c>
      <x:c r="C23" s="88" t="str">
        <x:v>三分化原始txt</x:v>
      </x:c>
      <x:c r="D23" s="88" t="str">
        <x:v>方法原文</x:v>
      </x:c>
      <x:c r="E23" s="88" t="str">
        <x:v>单腿硬拉…保加利亚…颈前深蹲…罗马尼亚硬拉…山羊挺身</x:v>
      </x:c>
      <x:c r="F23" s="88" t="str">
        <x:v>下肢动作结构明确；进一步确认颈前深蹲、罗马尼亚硬拉、山羊挺身均为3组；其余精确次数/单腿动作组次仍不足。</x:v>
      </x:c>
      <x:c r="G23" s="88" t="str">
        <x:v>部分处方已明示</x:v>
      </x:c>
      <x:c r="H23" s="88" t="str">
        <x:v>中高</x:v>
      </x:c>
      <x:c r="I23" s="88" t="str">
        <x:v>prescription</x:v>
      </x:c>
      <x:c r="J23" s="88" t="str">
        <x:v>是</x:v>
      </x:c>
      <x:c r="K23" s="88" t="str">
        <x:v>部分已定位</x:v>
      </x:c>
      <x:c r="L23" s="88" t="str">
        <x:v>V009已缩小为精确次数与单腿动作组次问题。</x:v>
      </x:c>
    </x:row>
    <x:row r="24">
      <x:c r="A24" s="88" t="str">
        <x:v>EV-MONTH-001</x:v>
      </x:c>
      <x:c r="B24" s="88" t="str">
        <x:v>M013/P-CYCLE-01</x:v>
      </x:c>
      <x:c r="C24" s="88" t="str">
        <x:v>三分化原始txt</x:v>
      </x:c>
      <x:c r="D24" s="88" t="str">
        <x:v>方法原文</x:v>
      </x:c>
      <x:c r="E24" s="88" t="str">
        <x:v>一个月以后…动作上的微调</x:v>
      </x:c>
      <x:c r="F24" s="88" t="str">
        <x:v>约一个月后可根据疲劳、别扭和刺激需求做动作微调</x:v>
      </x:c>
      <x:c r="G24" s="88" t="str">
        <x:v>明示</x:v>
      </x:c>
      <x:c r="H24" s="88" t="str">
        <x:v>高</x:v>
      </x:c>
      <x:c r="I24" s="88" t="str">
        <x:v>exception</x:v>
      </x:c>
      <x:c r="J24" s="88" t="str">
        <x:v>部分</x:v>
      </x:c>
      <x:c r="K24" s="88" t="str">
        <x:v>已定位</x:v>
      </x:c>
      <x:c r="L24" s="88" t="str">
        <x:v>具体替换细则不足</x:v>
      </x:c>
    </x:row>
    <x:row r="25">
      <x:c r="A25" s="88" t="str">
        <x:v>EV-CAL-002</x:v>
      </x:c>
      <x:c r="B25" s="88" t="str">
        <x:v>CAL-002/SCN-010</x:v>
      </x:c>
      <x:c r="C25" s="88" t="str">
        <x:v>三分化原始txt + 产品策略</x:v>
      </x:c>
      <x:c r="D25" s="88" t="str">
        <x:v>混合</x:v>
      </x:c>
      <x:c r="E25" s="88" t="str">
        <x:v>RM动态；目标余量固定</x:v>
      </x:c>
      <x:c r="F25" s="88" t="str">
        <x:v>原文支持重量可动态调整；产品把它转成“余量过多→加重候选”</x:v>
      </x:c>
      <x:c r="G25" s="88" t="str">
        <x:v>推导</x:v>
      </x:c>
      <x:c r="H25" s="88" t="str">
        <x:v>中高</x:v>
      </x:c>
      <x:c r="I25" s="88" t="str">
        <x:v>calibration</x:v>
      </x:c>
      <x:c r="J25" s="88" t="str">
        <x:v>是</x:v>
      </x:c>
      <x:c r="K25" s="88" t="str">
        <x:v>已定位</x:v>
      </x:c>
      <x:c r="L25" s="88" t="str">
        <x:v>具体加重量步长不写死</x:v>
      </x:c>
    </x:row>
    <x:row r="26">
      <x:c r="A26" s="88" t="str">
        <x:v>EV-CAL-003</x:v>
      </x:c>
      <x:c r="B26" s="88" t="str">
        <x:v>CAL-003</x:v>
      </x:c>
      <x:c r="C26" s="88" t="str">
        <x:v>三分化原始txt</x:v>
      </x:c>
      <x:c r="D26" s="88" t="str">
        <x:v>方法原文</x:v>
      </x:c>
      <x:c r="E26" s="88" t="str">
        <x:v>两个余量…RPE8</x:v>
      </x:c>
      <x:c r="F26" s="88" t="str">
        <x:v>实际达到目标次数且约留2次可视为重量匹配</x:v>
      </x:c>
      <x:c r="G26" s="88" t="str">
        <x:v>推导</x:v>
      </x:c>
      <x:c r="H26" s="88" t="str">
        <x:v>高</x:v>
      </x:c>
      <x:c r="I26" s="88" t="str">
        <x:v>calibration</x:v>
      </x:c>
      <x:c r="J26" s="88" t="str">
        <x:v>是</x:v>
      </x:c>
      <x:c r="K26" s="88" t="str">
        <x:v>已定位</x:v>
      </x:c>
      <x:c r="L26" s="88" t="str"/>
    </x:row>
    <x:row r="27">
      <x:c r="A27" s="88" t="str">
        <x:v>EV-CAL-004</x:v>
      </x:c>
      <x:c r="B27" s="88" t="str">
        <x:v>CAL-004/SCN-002</x:v>
      </x:c>
      <x:c r="C27" s="88" t="str">
        <x:v>三分化原始txt</x:v>
      </x:c>
      <x:c r="D27" s="88" t="str">
        <x:v>方法原文</x:v>
      </x:c>
      <x:c r="E27" s="88" t="str">
        <x:v>第一组30kg第二组做不了…减重量…RM动态</x:v>
      </x:c>
      <x:c r="F27" s="88" t="str">
        <x:v>如果下一组无法维持目标，允许减重量以完成目标</x:v>
      </x:c>
      <x:c r="G27" s="88" t="str">
        <x:v>明示</x:v>
      </x:c>
      <x:c r="H27" s="88" t="str">
        <x:v>高</x:v>
      </x:c>
      <x:c r="I27" s="88" t="str">
        <x:v>calibration</x:v>
      </x:c>
      <x:c r="J27" s="88" t="str">
        <x:v>是</x:v>
      </x:c>
      <x:c r="K27" s="88" t="str">
        <x:v>已定位</x:v>
      </x:c>
      <x:c r="L27" s="88" t="str"/>
    </x:row>
    <x:row r="28">
      <x:c r="A28" s="88" t="str">
        <x:v>EV-CAL-005</x:v>
      </x:c>
      <x:c r="B28" s="88" t="str">
        <x:v>CAL-005</x:v>
      </x:c>
      <x:c r="C28" s="88" t="str">
        <x:v>三分化原始txt</x:v>
      </x:c>
      <x:c r="D28" s="88" t="str">
        <x:v>方法原文</x:v>
      </x:c>
      <x:c r="E28" s="88" t="str">
        <x:v>不能用变形…动作技巧…稳定</x:v>
      </x:c>
      <x:c r="F28" s="88" t="str">
        <x:v>动作质量优先，不能用明显变形换进度</x:v>
      </x:c>
      <x:c r="G28" s="88" t="str">
        <x:v>明示/语境支持</x:v>
      </x:c>
      <x:c r="H28" s="88" t="str">
        <x:v>高</x:v>
      </x:c>
      <x:c r="I28" s="88" t="str">
        <x:v>technique</x:v>
      </x:c>
      <x:c r="J28" s="88" t="str">
        <x:v>是</x:v>
      </x:c>
      <x:c r="K28" s="88" t="str">
        <x:v>已定位</x:v>
      </x:c>
      <x:c r="L28" s="88" t="str"/>
    </x:row>
    <x:row r="29">
      <x:c r="A29" s="88" t="str">
        <x:v>EV-ADAPT-001</x:v>
      </x:c>
      <x:c r="B29" s="88" t="str">
        <x:v>CAL-001</x:v>
      </x:c>
      <x:c r="C29" s="88" t="str">
        <x:v>PRD/产品策略</x:v>
      </x:c>
      <x:c r="D29" s="88" t="str">
        <x:v>产品策略</x:v>
      </x:c>
      <x:c r="E29" s="88" t="str">
        <x:v>初始能力画像→首轮校准</x:v>
      </x:c>
      <x:c r="F29" s="88" t="str">
        <x:v>体能问答只缩小首次范围，不直接推算固定重量</x:v>
      </x:c>
      <x:c r="G29" s="88" t="str">
        <x:v>产品定义</x:v>
      </x:c>
      <x:c r="H29" s="88" t="str">
        <x:v>高</x:v>
      </x:c>
      <x:c r="I29" s="88" t="str">
        <x:v>adaptation</x:v>
      </x:c>
      <x:c r="J29" s="88" t="str">
        <x:v>否</x:v>
      </x:c>
      <x:c r="K29" s="88" t="str">
        <x:v>产品已确认</x:v>
      </x:c>
      <x:c r="L29" s="88" t="str"/>
    </x:row>
    <x:row r="30">
      <x:c r="A30" s="88" t="str">
        <x:v>EV-ADAPT-003</x:v>
      </x:c>
      <x:c r="B30" s="88" t="str">
        <x:v>SCN-003</x:v>
      </x:c>
      <x:c r="C30" s="88" t="str">
        <x:v>Adaptive Coaching Patch</x:v>
      </x:c>
      <x:c r="D30" s="88" t="str">
        <x:v>产品策略</x:v>
      </x:c>
      <x:c r="E30" s="88" t="str">
        <x:v>额外组</x:v>
      </x:c>
      <x:c r="F30" s="88" t="str">
        <x:v>额外组允许保存但不自动进入方法进阶判定</x:v>
      </x:c>
      <x:c r="G30" s="88" t="str">
        <x:v>产品定义</x:v>
      </x:c>
      <x:c r="H30" s="88" t="str">
        <x:v>高</x:v>
      </x:c>
      <x:c r="I30" s="88" t="str">
        <x:v>exception</x:v>
      </x:c>
      <x:c r="J30" s="88" t="str">
        <x:v>否</x:v>
      </x:c>
      <x:c r="K30" s="88" t="str">
        <x:v>产品已确认</x:v>
      </x:c>
      <x:c r="L30" s="88" t="str"/>
    </x:row>
    <x:row r="31">
      <x:c r="A31" s="88" t="str">
        <x:v>EV-ADAPT-004</x:v>
      </x:c>
      <x:c r="B31" s="88" t="str">
        <x:v>SCN-004</x:v>
      </x:c>
      <x:c r="C31" s="88" t="str">
        <x:v>Adaptive Coaching Patch</x:v>
      </x:c>
      <x:c r="D31" s="88" t="str">
        <x:v>产品策略</x:v>
      </x:c>
      <x:c r="E31" s="88" t="str">
        <x:v>少做一组</x:v>
      </x:c>
      <x:c r="F31" s="88" t="str">
        <x:v>保留已完成事实，不把整场归零</x:v>
      </x:c>
      <x:c r="G31" s="88" t="str">
        <x:v>产品定义</x:v>
      </x:c>
      <x:c r="H31" s="88" t="str">
        <x:v>高</x:v>
      </x:c>
      <x:c r="I31" s="88" t="str">
        <x:v>exception</x:v>
      </x:c>
      <x:c r="J31" s="88" t="str">
        <x:v>否</x:v>
      </x:c>
      <x:c r="K31" s="88" t="str">
        <x:v>产品已确认</x:v>
      </x:c>
      <x:c r="L31" s="88" t="str">
        <x:v>跨日补做仍需方法规则</x:v>
      </x:c>
    </x:row>
    <x:row r="32">
      <x:c r="A32" s="88" t="str">
        <x:v>EV-ADAPT-005</x:v>
      </x:c>
      <x:c r="B32" s="88" t="str">
        <x:v>SCN-005</x:v>
      </x:c>
      <x:c r="C32" s="88" t="str">
        <x:v>Adaptive Coaching Patch</x:v>
      </x:c>
      <x:c r="D32" s="88" t="str">
        <x:v>产品策略</x:v>
      </x:c>
      <x:c r="E32" s="88" t="str">
        <x:v>提前结束</x:v>
      </x:c>
      <x:c r="F32" s="88" t="str">
        <x:v>部分训练仍是真实Actual，未完成项保持未完成</x:v>
      </x:c>
      <x:c r="G32" s="88" t="str">
        <x:v>产品定义</x:v>
      </x:c>
      <x:c r="H32" s="88" t="str">
        <x:v>高</x:v>
      </x:c>
      <x:c r="I32" s="88" t="str">
        <x:v>exception</x:v>
      </x:c>
      <x:c r="J32" s="88" t="str">
        <x:v>否</x:v>
      </x:c>
      <x:c r="K32" s="88" t="str">
        <x:v>产品已确认</x:v>
      </x:c>
      <x:c r="L32" s="88" t="str"/>
    </x:row>
    <x:row r="33">
      <x:c r="A33" s="88" t="str">
        <x:v>EV-ADAPT-006</x:v>
      </x:c>
      <x:c r="B33" s="88" t="str">
        <x:v>CAL-006/SCN-006/007</x:v>
      </x:c>
      <x:c r="C33" s="88" t="str">
        <x:v>Adaptive Coaching Patch + 方法原则</x:v>
      </x:c>
      <x:c r="D33" s="88" t="str">
        <x:v>产品策略</x:v>
      </x:c>
      <x:c r="E33" s="88" t="str">
        <x:v>中断后回归</x:v>
      </x:c>
      <x:c r="F33" s="88" t="str">
        <x:v>中断不清空方法；重新校准当前重量；具体天数阈值属于产品策略</x:v>
      </x:c>
      <x:c r="G33" s="88" t="str">
        <x:v>产品定义</x:v>
      </x:c>
      <x:c r="H33" s="88" t="str">
        <x:v>高</x:v>
      </x:c>
      <x:c r="I33" s="88" t="str">
        <x:v>adaptation</x:v>
      </x:c>
      <x:c r="J33" s="88" t="str">
        <x:v>否</x:v>
      </x:c>
      <x:c r="K33" s="88" t="str">
        <x:v>产品已确认</x:v>
      </x:c>
      <x:c r="L33" s="88" t="str">
        <x:v>阈值需规则测试</x:v>
      </x:c>
    </x:row>
    <x:row r="34">
      <x:c r="A34" s="88" t="str">
        <x:v>EV-ADAPT-007</x:v>
      </x:c>
      <x:c r="B34" s="88" t="str">
        <x:v>CAL-007/SCN-001/017</x:v>
      </x:c>
      <x:c r="C34" s="88" t="str">
        <x:v>Adaptive Coaching Patch</x:v>
      </x:c>
      <x:c r="D34" s="88" t="str">
        <x:v>产品策略</x:v>
      </x:c>
      <x:c r="E34" s="88" t="str">
        <x:v>主动挑战/加重</x:v>
      </x:c>
      <x:c r="F34" s="88" t="str">
        <x:v>成绩保留，但挑战不自动成为方法进阶</x:v>
      </x:c>
      <x:c r="G34" s="88" t="str">
        <x:v>产品定义</x:v>
      </x:c>
      <x:c r="H34" s="88" t="str">
        <x:v>高</x:v>
      </x:c>
      <x:c r="I34" s="88" t="str">
        <x:v>adaptation</x:v>
      </x:c>
      <x:c r="J34" s="88" t="str">
        <x:v>否</x:v>
      </x:c>
      <x:c r="K34" s="88" t="str">
        <x:v>产品已确认</x:v>
      </x:c>
      <x:c r="L34" s="88" t="str"/>
    </x:row>
    <x:row r="35">
      <x:c r="A35" s="88" t="str">
        <x:v>EV-ADAPT-008</x:v>
      </x:c>
      <x:c r="B35" s="88" t="str">
        <x:v>CAL-008/SCN-018</x:v>
      </x:c>
      <x:c r="C35" s="88" t="str">
        <x:v>Adaptive Coaching Patch</x:v>
      </x:c>
      <x:c r="D35" s="88" t="str">
        <x:v>产品策略</x:v>
      </x:c>
      <x:c r="E35" s="88" t="str">
        <x:v>持续偏轻</x:v>
      </x:c>
      <x:c r="F35" s="88" t="str">
        <x:v>多次余量偏高可提高参考重量；“连续几次”阈值待确认</x:v>
      </x:c>
      <x:c r="G35" s="88" t="str">
        <x:v>产品定义</x:v>
      </x:c>
      <x:c r="H35" s="88" t="str">
        <x:v>中</x:v>
      </x:c>
      <x:c r="I35" s="88" t="str">
        <x:v>adaptation</x:v>
      </x:c>
      <x:c r="J35" s="88" t="str">
        <x:v>否</x:v>
      </x:c>
      <x:c r="K35" s="88" t="str">
        <x:v>待确认</x:v>
      </x:c>
      <x:c r="L35" s="88" t="str"/>
    </x:row>
    <x:row r="36">
      <x:c r="A36" s="88" t="str">
        <x:v>EV-ADAPT-009</x:v>
      </x:c>
      <x:c r="B36" s="88" t="str">
        <x:v>CAL-009/SCN-019</x:v>
      </x:c>
      <x:c r="C36" s="88" t="str">
        <x:v>Adaptive Coaching Patch</x:v>
      </x:c>
      <x:c r="D36" s="88" t="str">
        <x:v>产品策略</x:v>
      </x:c>
      <x:c r="E36" s="88" t="str">
        <x:v>持续达不到</x:v>
      </x:c>
      <x:c r="F36" s="88" t="str">
        <x:v>先校准重量/恢复，再由方法进阶规则决定是否回退</x:v>
      </x:c>
      <x:c r="G36" s="88" t="str">
        <x:v>产品定义</x:v>
      </x:c>
      <x:c r="H36" s="88" t="str">
        <x:v>高</x:v>
      </x:c>
      <x:c r="I36" s="88" t="str">
        <x:v>adaptation</x:v>
      </x:c>
      <x:c r="J36" s="88" t="str">
        <x:v>否</x:v>
      </x:c>
      <x:c r="K36" s="88" t="str">
        <x:v>产品已确认</x:v>
      </x:c>
      <x:c r="L36" s="88" t="str"/>
    </x:row>
    <x:row r="37">
      <x:c r="A37" s="88" t="str">
        <x:v>EV-ADAPT-011</x:v>
      </x:c>
      <x:c r="B37" s="88" t="str">
        <x:v>SCN-011</x:v>
      </x:c>
      <x:c r="C37" s="88" t="str">
        <x:v>Adaptive Coaching Patch</x:v>
      </x:c>
      <x:c r="D37" s="88" t="str">
        <x:v>产品策略</x:v>
      </x:c>
      <x:c r="E37" s="88" t="str">
        <x:v>忽略休息建议</x:v>
      </x:c>
      <x:c r="F37" s="88" t="str">
        <x:v>允许用户override并记录；不锁死</x:v>
      </x:c>
      <x:c r="G37" s="88" t="str">
        <x:v>产品定义</x:v>
      </x:c>
      <x:c r="H37" s="88" t="str">
        <x:v>高</x:v>
      </x:c>
      <x:c r="I37" s="88" t="str">
        <x:v>adaptation</x:v>
      </x:c>
      <x:c r="J37" s="88" t="str">
        <x:v>否</x:v>
      </x:c>
      <x:c r="K37" s="88" t="str">
        <x:v>产品已确认</x:v>
      </x:c>
      <x:c r="L37" s="88" t="str"/>
    </x:row>
    <x:row r="38">
      <x:c r="A38" s="88" t="str">
        <x:v>EV-ADAPT-012</x:v>
      </x:c>
      <x:c r="B38" s="88" t="str">
        <x:v>SCN-012</x:v>
      </x:c>
      <x:c r="C38" s="88" t="str">
        <x:v>Adaptive Coaching Patch</x:v>
      </x:c>
      <x:c r="D38" s="88" t="str">
        <x:v>产品策略</x:v>
      </x:c>
      <x:c r="E38" s="88" t="str">
        <x:v>稍后做</x:v>
      </x:c>
      <x:c r="F38" s="88" t="str">
        <x:v>器械被占可暂时后移，未完成则带原因跳过</x:v>
      </x:c>
      <x:c r="G38" s="88" t="str">
        <x:v>产品定义</x:v>
      </x:c>
      <x:c r="H38" s="88" t="str">
        <x:v>高</x:v>
      </x:c>
      <x:c r="I38" s="88" t="str">
        <x:v>adaptation</x:v>
      </x:c>
      <x:c r="J38" s="88" t="str">
        <x:v>否</x:v>
      </x:c>
      <x:c r="K38" s="88" t="str">
        <x:v>产品已确认</x:v>
      </x:c>
      <x:c r="L38" s="88" t="str"/>
    </x:row>
    <x:row r="39">
      <x:c r="A39" s="88" t="str">
        <x:v>EV-ADAPT-013</x:v>
      </x:c>
      <x:c r="B39" s="88" t="str">
        <x:v>SCN-013</x:v>
      </x:c>
      <x:c r="C39" s="88" t="str">
        <x:v>Adaptive Coaching Patch + 方法原文</x:v>
      </x:c>
      <x:c r="D39" s="88" t="str">
        <x:v>混合</x:v>
      </x:c>
      <x:c r="E39" s="88" t="str">
        <x:v>退阶/替代</x:v>
      </x:c>
      <x:c r="F39" s="88" t="str">
        <x:v>有明确方法替代才执行；没有则METHOD_GAP，AI不得自创</x:v>
      </x:c>
      <x:c r="G39" s="88" t="str">
        <x:v>产品定义+方法约束</x:v>
      </x:c>
      <x:c r="H39" s="88" t="str">
        <x:v>高</x:v>
      </x:c>
      <x:c r="I39" s="88" t="str">
        <x:v>exception</x:v>
      </x:c>
      <x:c r="J39" s="88" t="str">
        <x:v>是</x:v>
      </x:c>
      <x:c r="K39" s="88" t="str">
        <x:v>产品已确认</x:v>
      </x:c>
      <x:c r="L39" s="88" t="str"/>
    </x:row>
    <x:row r="40">
      <x:c r="A40" s="88" t="str">
        <x:v>EV-ADAPT-014</x:v>
      </x:c>
      <x:c r="B40" s="88" t="str">
        <x:v>SCN-014</x:v>
      </x:c>
      <x:c r="C40" s="88" t="str">
        <x:v>Adaptive Coaching Patch</x:v>
      </x:c>
      <x:c r="D40" s="88" t="str">
        <x:v>产品策略</x:v>
      </x:c>
      <x:c r="E40" s="88" t="str">
        <x:v>额外训练</x:v>
      </x:c>
      <x:c r="F40" s="88" t="str">
        <x:v>额外训练进入实际负荷和复盘，但不推进官方Cycle</x:v>
      </x:c>
      <x:c r="G40" s="88" t="str">
        <x:v>产品定义</x:v>
      </x:c>
      <x:c r="H40" s="88" t="str">
        <x:v>高</x:v>
      </x:c>
      <x:c r="I40" s="88" t="str">
        <x:v>adaptation</x:v>
      </x:c>
      <x:c r="J40" s="88" t="str">
        <x:v>否</x:v>
      </x:c>
      <x:c r="K40" s="88" t="str">
        <x:v>产品已确认</x:v>
      </x:c>
      <x:c r="L40" s="88" t="str"/>
    </x:row>
    <x:row r="41">
      <x:c r="A41" s="88" t="str">
        <x:v>EV-ADAPT-015</x:v>
      </x:c>
      <x:c r="B41" s="88" t="str">
        <x:v>SCN-015</x:v>
      </x:c>
      <x:c r="C41" s="88" t="str">
        <x:v>PRD/Review原则</x:v>
      </x:c>
      <x:c r="D41" s="88" t="str">
        <x:v>产品策略</x:v>
      </x:c>
      <x:c r="E41" s="88" t="str">
        <x:v>饮食数据不足</x:v>
      </x:c>
      <x:c r="F41" s="88" t="str">
        <x:v>缺数据降低判断置信度，不影响记录事实，也不让AI补猜</x:v>
      </x:c>
      <x:c r="G41" s="88" t="str">
        <x:v>产品定义</x:v>
      </x:c>
      <x:c r="H41" s="88" t="str">
        <x:v>高</x:v>
      </x:c>
      <x:c r="I41" s="88" t="str">
        <x:v>data_quality</x:v>
      </x:c>
      <x:c r="J41" s="88" t="str">
        <x:v>否</x:v>
      </x:c>
      <x:c r="K41" s="88" t="str">
        <x:v>产品已确认</x:v>
      </x:c>
      <x:c r="L41" s="88" t="str"/>
    </x:row>
    <x:row r="42">
      <x:c r="A42" s="88" t="str">
        <x:v>EV-ADAPT-016</x:v>
      </x:c>
      <x:c r="B42" s="88" t="str">
        <x:v>SCN-016</x:v>
      </x:c>
      <x:c r="C42" s="88" t="str">
        <x:v>PRD Progress三轴</x:v>
      </x:c>
      <x:c r="D42" s="88" t="str">
        <x:v>产品策略</x:v>
      </x:c>
      <x:c r="E42" s="88" t="str">
        <x:v>Performance/Behavior/Outcome</x:v>
      </x:c>
      <x:c r="F42" s="88" t="str">
        <x:v>体重、训练表现、执行行为必须分轴解释</x:v>
      </x:c>
      <x:c r="G42" s="88" t="str">
        <x:v>产品定义</x:v>
      </x:c>
      <x:c r="H42" s="88" t="str">
        <x:v>高</x:v>
      </x:c>
      <x:c r="I42" s="88" t="str">
        <x:v>review</x:v>
      </x:c>
      <x:c r="J42" s="88" t="str">
        <x:v>否</x:v>
      </x:c>
      <x:c r="K42" s="88" t="str">
        <x:v>产品已确认</x:v>
      </x:c>
      <x:c r="L42" s="88" t="str"/>
    </x:row>
    <x:row r="43">
      <x:c r="A43" s="88" t="str">
        <x:v>EV-ADAPT-020</x:v>
      </x:c>
      <x:c r="B43" s="88" t="str">
        <x:v>SCN-020</x:v>
      </x:c>
      <x:c r="C43" s="88" t="str">
        <x:v>Adaptive Coaching Patch</x:v>
      </x:c>
      <x:c r="D43" s="88" t="str">
        <x:v>产品策略</x:v>
      </x:c>
      <x:c r="E43" s="88" t="str">
        <x:v>暂停方法</x:v>
      </x:c>
      <x:c r="F43" s="88" t="str">
        <x:v>暂停保留历史和next split，恢复后重新评估</x:v>
      </x:c>
      <x:c r="G43" s="88" t="str">
        <x:v>产品定义</x:v>
      </x:c>
      <x:c r="H43" s="88" t="str">
        <x:v>高</x:v>
      </x:c>
      <x:c r="I43" s="88" t="str">
        <x:v>adaptation</x:v>
      </x:c>
      <x:c r="J43" s="88" t="str">
        <x:v>否</x:v>
      </x:c>
      <x:c r="K43" s="88" t="str">
        <x:v>产品已确认</x:v>
      </x:c>
      <x:c r="L43" s="88" t="str"/>
    </x:row>
    <x:row r="44">
      <x:c r="A44" s="88" t="str">
        <x:v>EV-ADAPT-021</x:v>
      </x:c>
      <x:c r="B44" s="88" t="str">
        <x:v>SCN-021</x:v>
      </x:c>
      <x:c r="C44" s="88" t="str">
        <x:v>数据模型原则</x:v>
      </x:c>
      <x:c r="D44" s="88" t="str">
        <x:v>产品策略</x:v>
      </x:c>
      <x:c r="E44" s="88" t="str">
        <x:v>log_date vs created_at</x:v>
      </x:c>
      <x:c r="F44" s="88" t="str">
        <x:v>补记按实际日期归属，重新计算下游派生</x:v>
      </x:c>
      <x:c r="G44" s="88" t="str">
        <x:v>产品定义</x:v>
      </x:c>
      <x:c r="H44" s="88" t="str">
        <x:v>高</x:v>
      </x:c>
      <x:c r="I44" s="88" t="str">
        <x:v>data_integrity</x:v>
      </x:c>
      <x:c r="J44" s="88" t="str">
        <x:v>否</x:v>
      </x:c>
      <x:c r="K44" s="88" t="str">
        <x:v>产品已确认</x:v>
      </x:c>
      <x:c r="L44" s="88" t="str"/>
    </x:row>
    <x:row r="45">
      <x:c r="A45" s="88" t="str">
        <x:v>EV-ADAPT-PAIN</x:v>
      </x:c>
      <x:c r="B45" s="88" t="str">
        <x:v>SCN-008</x:v>
      </x:c>
      <x:c r="C45" s="88" t="str">
        <x:v>三分化原文 + 产品安全策略</x:v>
      </x:c>
      <x:c r="D45" s="88" t="str">
        <x:v>混合</x:v>
      </x:c>
      <x:c r="E45" s="88" t="str">
        <x:v>关节不舒服/筛查身体问题</x:v>
      </x:c>
      <x:c r="F45" s="88" t="str">
        <x:v>方法强调功能和关节舒适；产品不做诊断，只支持停止/记录/建议评估</x:v>
      </x:c>
      <x:c r="G45" s="88" t="str">
        <x:v>原则明确/处理产品化</x:v>
      </x:c>
      <x:c r="H45" s="88" t="str">
        <x:v>高</x:v>
      </x:c>
      <x:c r="I45" s="88" t="str">
        <x:v>safety</x:v>
      </x:c>
      <x:c r="J45" s="88" t="str">
        <x:v>是</x:v>
      </x:c>
      <x:c r="K45" s="88" t="str">
        <x:v>已定位</x:v>
      </x:c>
      <x:c r="L45" s="88" t="str"/>
    </x:row>
    <x:row r="46">
      <x:c r="A46" t="str">
        <x:v>EV-GOAL-001</x:v>
      </x:c>
      <x:c r="B46" t="str">
        <x:v>M001</x:v>
      </x:c>
      <x:c r="C46" t="str">
        <x:v>三分化原始txt</x:v>
      </x:c>
      <x:c r="D46" t="str">
        <x:v>方法原文</x:v>
      </x:c>
      <x:c r="E46" t="str">
        <x:v>力量提高…功能发展…增肌效果</x:v>
      </x:c>
      <x:c r="F46" t="str">
        <x:v>方法目标同时覆盖力量、形体、运动能力与功能</x:v>
      </x:c>
      <x:c r="G46" t="str">
        <x:v>明示</x:v>
      </x:c>
      <x:c r="H46" t="str">
        <x:v>高</x:v>
      </x:c>
      <x:c r="I46" t="str">
        <x:v>principle</x:v>
      </x:c>
      <x:c r="J46" t="str">
        <x:v>是</x:v>
      </x:c>
      <x:c r="K46" t="str">
        <x:v>已定位</x:v>
      </x:c>
      <x:c r="L46" t="str"/>
    </x:row>
    <x:row r="47">
      <x:c r="A47" t="str">
        <x:v>EV-FREE-001</x:v>
      </x:c>
      <x:c r="B47" t="str">
        <x:v>M002</x:v>
      </x:c>
      <x:c r="C47" t="str">
        <x:v>三分化原始txt</x:v>
      </x:c>
      <x:c r="D47" t="str">
        <x:v>方法原文</x:v>
      </x:c>
      <x:c r="E47" t="str">
        <x:v>自由重量…协调性稳定性…筛查</x:v>
      </x:c>
      <x:c r="F47" t="str">
        <x:v>自由重量用于开发协调稳定，并暴露能力问题</x:v>
      </x:c>
      <x:c r="G47" t="str">
        <x:v>明示</x:v>
      </x:c>
      <x:c r="H47" t="str">
        <x:v>高</x:v>
      </x:c>
      <x:c r="I47" t="str">
        <x:v>principle</x:v>
      </x:c>
      <x:c r="J47" t="str">
        <x:v>是</x:v>
      </x:c>
      <x:c r="K47" t="str">
        <x:v>已定位</x:v>
      </x:c>
      <x:c r="L47" t="str"/>
    </x:row>
    <x:row r="48">
      <x:c r="A48" t="str">
        <x:v>EV-PROG-001</x:v>
      </x:c>
      <x:c r="B48" t="str">
        <x:v>M005</x:v>
      </x:c>
      <x:c r="C48" t="str">
        <x:v>三分化原始txt</x:v>
      </x:c>
      <x:c r="D48" t="str">
        <x:v>方法原文</x:v>
      </x:c>
      <x:c r="E48" t="str">
        <x:v>15/12/10/8…8…6…5</x:v>
      </x:c>
      <x:c r="F48" t="str">
        <x:v>渐进包括组数和次数阶段变化，并非只加重量</x:v>
      </x:c>
      <x:c r="G48" t="str">
        <x:v>明示</x:v>
      </x:c>
      <x:c r="H48" t="str">
        <x:v>高</x:v>
      </x:c>
      <x:c r="I48" t="str">
        <x:v>progression</x:v>
      </x:c>
      <x:c r="J48" t="str">
        <x:v>是</x:v>
      </x:c>
      <x:c r="K48" t="str">
        <x:v>已定位</x:v>
      </x:c>
      <x:c r="L48" t="str"/>
    </x:row>
    <x:row r="49">
      <x:c r="A49" t="str">
        <x:v>EV-QUALITY-001</x:v>
      </x:c>
      <x:c r="B49" t="str">
        <x:v>M011</x:v>
      </x:c>
      <x:c r="C49" t="str">
        <x:v>三分化原始txt</x:v>
      </x:c>
      <x:c r="D49" t="str">
        <x:v>方法原文</x:v>
      </x:c>
      <x:c r="E49" t="str">
        <x:v>重重量仍然稳定/不能变形</x:v>
      </x:c>
      <x:c r="F49" t="str">
        <x:v>动作稳定性和质量优先于单纯追重量</x:v>
      </x:c>
      <x:c r="G49" t="str">
        <x:v>语境明确</x:v>
      </x:c>
      <x:c r="H49" t="str">
        <x:v>高</x:v>
      </x:c>
      <x:c r="I49" t="str">
        <x:v>technique</x:v>
      </x:c>
      <x:c r="J49" t="str">
        <x:v>是</x:v>
      </x:c>
      <x:c r="K49" t="str">
        <x:v>已定位</x:v>
      </x:c>
      <x:c r="L49" t="str"/>
    </x:row>
    <x:row r="50">
      <x:c r="A50" t="str">
        <x:v>EV-FEEL-001</x:v>
      </x:c>
      <x:c r="B50" t="str">
        <x:v>M012</x:v>
      </x:c>
      <x:c r="C50" t="str">
        <x:v>三分化原始txt</x:v>
      </x:c>
      <x:c r="D50" t="str">
        <x:v>方法原文</x:v>
      </x:c>
      <x:c r="E50" t="str">
        <x:v>感觉不好…四组都是12次</x:v>
      </x:c>
      <x:c r="F50" t="str">
        <x:v>部分背部动作在肌肉感觉较差时应降低强度/用更多次数确保控制</x:v>
      </x:c>
      <x:c r="G50" t="str">
        <x:v>明示</x:v>
      </x:c>
      <x:c r="H50" t="str">
        <x:v>高</x:v>
      </x:c>
      <x:c r="I50" t="str">
        <x:v>technique</x:v>
      </x:c>
      <x:c r="J50" t="str">
        <x:v>是</x:v>
      </x:c>
      <x:c r="K50" t="str">
        <x:v>已定位</x:v>
      </x:c>
      <x:c r="L50" t="str"/>
    </x:row>
    <x:row r="51">
      <x:c r="A51" t="str">
        <x:v>EV-CURL-001</x:v>
      </x:c>
      <x:c r="B51" t="str">
        <x:v>Day2绳索弯举</x:v>
      </x:c>
      <x:c r="C51" t="str">
        <x:v>三分化原始txt</x:v>
      </x:c>
      <x:c r="D51" t="str">
        <x:v>方法原文</x:v>
      </x:c>
      <x:c r="E51" t="str">
        <x:v>钢线弯举/肩屈位的弯举</x:v>
      </x:c>
      <x:c r="F51" t="str">
        <x:v>肩屈位弯举意图明确，但动作标准名和首轮处方不足</x:v>
      </x:c>
      <x:c r="G51" t="str">
        <x:v>部分明确</x:v>
      </x:c>
      <x:c r="H51" t="str">
        <x:v>中</x:v>
      </x:c>
      <x:c r="I51" t="str">
        <x:v>prescription</x:v>
      </x:c>
      <x:c r="J51" t="str">
        <x:v>是</x:v>
      </x:c>
      <x:c r="K51" t="str">
        <x:v>待补证据</x:v>
      </x:c>
      <x:c r="L51" t="str"/>
    </x:row>
    <x:row r="52">
      <x:c r="A52" t="str">
        <x:v>EV-BENCH-CUE-001</x:v>
      </x:c>
      <x:c r="B52" t="str">
        <x:v>杠铃卧推动作Cue</x:v>
      </x:c>
      <x:c r="C52" t="str">
        <x:v>三分化原始txt</x:v>
      </x:c>
      <x:c r="D52" t="str">
        <x:v>方法原文</x:v>
      </x:c>
      <x:c r="E52" t="str">
        <x:v>握距/触胸/胸椎/肩胛/速度</x:v>
      </x:c>
      <x:c r="F52" t="str">
        <x:v>卧推技术取决于身体结构与活动度，不应机械追求单一握距或触胸形式</x:v>
      </x:c>
      <x:c r="G52" t="str">
        <x:v>语境明确</x:v>
      </x:c>
      <x:c r="H52" t="str">
        <x:v>高</x:v>
      </x:c>
      <x:c r="I52" t="str">
        <x:v>technique</x:v>
      </x:c>
      <x:c r="J52" t="str">
        <x:v>部分</x:v>
      </x:c>
      <x:c r="K52" t="str">
        <x:v>已定位</x:v>
      </x:c>
      <x:c r="L52" t="str">
        <x:v>官方胸日跟练进一步确认：不追求统一幅度；肩不舒服时降低幅度。</x:v>
      </x:c>
    </x:row>
    <x:row r="53">
      <x:c r="A53" t="str">
        <x:v>EV-INC-CUE-001</x:v>
      </x:c>
      <x:c r="B53" t="str">
        <x:v>上斜哑铃动作Cue</x:v>
      </x:c>
      <x:c r="C53" t="str">
        <x:v>三分化原始txt</x:v>
      </x:c>
      <x:c r="D53" t="str">
        <x:v>方法原文</x:v>
      </x:c>
      <x:c r="E53" t="str">
        <x:v>45度左右/不要刻意沉肩</x:v>
      </x:c>
      <x:c r="F53" t="str">
        <x:v>上斜角度和肩胛策略有明确口述原则</x:v>
      </x:c>
      <x:c r="G53" t="str">
        <x:v>语境明确</x:v>
      </x:c>
      <x:c r="H53" t="str">
        <x:v>高</x:v>
      </x:c>
      <x:c r="I53" t="str">
        <x:v>technique</x:v>
      </x:c>
      <x:c r="J53" t="str">
        <x:v>部分</x:v>
      </x:c>
      <x:c r="K53" t="str">
        <x:v>已定位</x:v>
      </x:c>
      <x:c r="L53" t="str">
        <x:v>官方胸日跟练公开笔记进一步确认约45°，随起桥/个体调整。</x:v>
      </x:c>
    </x:row>
    <x:row r="54">
      <x:c r="A54" t="str">
        <x:v>EV-PULL-CUE-001</x:v>
      </x:c>
      <x:c r="B54" t="str">
        <x:v>单手绳索下拉Cue</x:v>
      </x:c>
      <x:c r="C54" t="str">
        <x:v>三分化原始txt</x:v>
      </x:c>
      <x:c r="D54" t="str">
        <x:v>方法原文</x:v>
      </x:c>
      <x:c r="E54" t="str">
        <x:v>不要太多侧屈和旋转/离心张力</x:v>
      </x:c>
      <x:c r="F54" t="str">
        <x:v>强调拉力线、减少身体代偿、保持离心张力</x:v>
      </x:c>
      <x:c r="G54" t="str">
        <x:v>明示</x:v>
      </x:c>
      <x:c r="H54" t="str">
        <x:v>高</x:v>
      </x:c>
      <x:c r="I54" t="str">
        <x:v>technique</x:v>
      </x:c>
      <x:c r="J54" t="str">
        <x:v>部分</x:v>
      </x:c>
      <x:c r="K54" t="str">
        <x:v>已定位</x:v>
      </x:c>
      <x:c r="L54" t="str">
        <x:v>官方背日跟练公开笔记进一步确认：对握略反手，减少侧屈/旋转，保持力；胸椎可轻微屈曲。</x:v>
      </x:c>
    </x:row>
    <x:row r="55">
      <x:c r="A55" t="str">
        <x:v>EV-SLRDL-CUE-001</x:v>
      </x:c>
      <x:c r="B55" t="str">
        <x:v>单腿硬拉Cue</x:v>
      </x:c>
      <x:c r="C55" t="str">
        <x:v>三分化原始txt</x:v>
      </x:c>
      <x:c r="D55" t="str">
        <x:v>方法原文</x:v>
      </x:c>
      <x:c r="E55" t="str">
        <x:v>脚趾抓地/胸腔骨盆对位/腰开始代偿前停止</x:v>
      </x:c>
      <x:c r="F55" t="str">
        <x:v>单腿硬拉以髋铰链和稳定性为核心，不追固定下放高度</x:v>
      </x:c>
      <x:c r="G55" t="str">
        <x:v>语境明确</x:v>
      </x:c>
      <x:c r="H55" t="str">
        <x:v>高</x:v>
      </x:c>
      <x:c r="I55" t="str">
        <x:v>technique</x:v>
      </x:c>
      <x:c r="J55" t="str">
        <x:v>部分</x:v>
      </x:c>
      <x:c r="K55" t="str">
        <x:v>已定位</x:v>
      </x:c>
      <x:c r="L55" t="str"/>
    </x:row>
    <x:row r="56">
      <x:c r="A56" t="str">
        <x:v>EV-RDL-CUE-001</x:v>
      </x:c>
      <x:c r="B56" t="str">
        <x:v>罗马尼亚硬拉Cue</x:v>
      </x:c>
      <x:c r="C56" t="str">
        <x:v>三分化原始txt</x:v>
      </x:c>
      <x:c r="D56" t="str">
        <x:v>方法原文</x:v>
      </x:c>
      <x:c r="E56" t="str">
        <x:v>髋铰链核心刚性上背刚性</x:v>
      </x:c>
      <x:c r="F56" t="str">
        <x:v>先建立髋铰链、核心和上背稳定，再提高训练强度</x:v>
      </x:c>
      <x:c r="G56" t="str">
        <x:v>明示</x:v>
      </x:c>
      <x:c r="H56" t="str">
        <x:v>高</x:v>
      </x:c>
      <x:c r="I56" t="str">
        <x:v>technique</x:v>
      </x:c>
      <x:c r="J56" t="str">
        <x:v>部分</x:v>
      </x:c>
      <x:c r="K56" t="str">
        <x:v>已定位</x:v>
      </x:c>
      <x:c r="L56" t="str"/>
    </x:row>
    <x:row r="57">
      <x:c r="A57" t="str">
        <x:v>EV-BACKEXT-CUE-001</x:v>
      </x:c>
      <x:c r="B57" t="str">
        <x:v>山羊挺身Cue</x:v>
      </x:c>
      <x:c r="C57" t="str">
        <x:v>三分化原始txt</x:v>
      </x:c>
      <x:c r="D57" t="str">
        <x:v>方法原文</x:v>
      </x:c>
      <x:c r="E57" t="str">
        <x:v>膝微屈/上身整体/下放角度</x:v>
      </x:c>
      <x:c r="F57" t="str">
        <x:v>山羊挺身强调整体稳定和可控幅度</x:v>
      </x:c>
      <x:c r="G57" t="str">
        <x:v>语境明确</x:v>
      </x:c>
      <x:c r="H57" t="str">
        <x:v>中高</x:v>
      </x:c>
      <x:c r="I57" t="str">
        <x:v>technique</x:v>
      </x:c>
      <x:c r="J57" t="str">
        <x:v>部分</x:v>
      </x:c>
      <x:c r="K57" t="str">
        <x:v>已定位</x:v>
      </x:c>
      <x:c r="L57" t="str"/>
    </x:row>
    <x:row r="58">
      <x:c r="A58" t="str">
        <x:v>EV-OFF-V001</x:v>
      </x:c>
      <x:c r="B58" t="str">
        <x:v>V001 / Day1 Y字侧平举</x:v>
      </x:c>
      <x:c r="C58" t="str">
        <x:v>https://www.bilibili.com/video/BV17hNXz6Exv/</x:v>
      </x:c>
      <x:c r="D58" t="str">
        <x:v>凯圣王官方动作详解</x:v>
      </x:c>
      <x:c r="E58" t="str">
        <x:v>《Y字侧平举详解》；官方胸日跟练公开笔记1:09:16</x:v>
      </x:c>
      <x:c r="F58" t="str">
        <x:v>官方命名明确为Y字侧平举；用于解决“Y字/拜姿”转写冲突。</x:v>
      </x:c>
      <x:c r="G58" t="str">
        <x:v>官方直接资料</x:v>
      </x:c>
      <x:c r="H58" t="str">
        <x:v>高</x:v>
      </x:c>
      <x:c r="I58" t="str">
        <x:v>technique</x:v>
      </x:c>
      <x:c r="J58" t="str">
        <x:v>是</x:v>
      </x:c>
      <x:c r="K58" t="str">
        <x:v>已定位</x:v>
      </x:c>
      <x:c r="L58" t="str">
        <x:v>同时保留原方法3×10+10处方证据。</x:v>
      </x:c>
    </x:row>
    <x:row r="59">
      <x:c r="A59" t="str">
        <x:v>EV-OFF-V002</x:v>
      </x:c>
      <x:c r="B59" t="str">
        <x:v>V002 / 单手绳索下拉</x:v>
      </x:c>
      <x:c r="C59" t="str">
        <x:v>https://www.bilibili.com/video/BV1v5opBhEDc/</x:v>
      </x:c>
      <x:c r="D59" t="str">
        <x:v>凯圣王官方三分化④</x:v>
      </x:c>
      <x:c r="E59" t="str">
        <x:v>背日跟练</x:v>
      </x:c>
      <x:c r="F59" t="str">
        <x:v>官方系列对应动作；结合公开笔记和原始合集，可收口减少侧屈/旋转、保持张力等执行原则。</x:v>
      </x:c>
      <x:c r="G59" t="str">
        <x:v>官方系列+原文</x:v>
      </x:c>
      <x:c r="H59" t="str">
        <x:v>高</x:v>
      </x:c>
      <x:c r="I59" t="str">
        <x:v>technique</x:v>
      </x:c>
      <x:c r="J59" t="str">
        <x:v>部分</x:v>
      </x:c>
      <x:c r="K59" t="str">
        <x:v>已定位</x:v>
      </x:c>
      <x:c r="L59" t="str">
        <x:v>具体画面只作Media，不编码几何角度。</x:v>
      </x:c>
    </x:row>
    <x:row r="60">
      <x:c r="A60" t="str">
        <x:v>EV-OFF-V002B</x:v>
      </x:c>
      <x:c r="B60" t="str">
        <x:v>对握高位下拉</x:v>
      </x:c>
      <x:c r="C60" t="str">
        <x:v>https://www.bilibili.com/video/BV16U411Z7bV/</x:v>
      </x:c>
      <x:c r="D60" t="str">
        <x:v>凯圣王官方动作详解</x:v>
      </x:c>
      <x:c r="E60" t="str">
        <x:v>《对握高位下拉详解》</x:v>
      </x:c>
      <x:c r="F60" t="str">
        <x:v>为Day2第二动作提供官方独立动作示范。</x:v>
      </x:c>
      <x:c r="G60" t="str">
        <x:v>官方直接资料</x:v>
      </x:c>
      <x:c r="H60" t="str">
        <x:v>高</x:v>
      </x:c>
      <x:c r="I60" t="str">
        <x:v>technique</x:v>
      </x:c>
      <x:c r="J60" t="str">
        <x:v>部分</x:v>
      </x:c>
      <x:c r="K60" t="str">
        <x:v>已定位</x:v>
      </x:c>
      <x:c r="L60" t="str">
        <x:v>不替代三分化专属组次规则。</x:v>
      </x:c>
    </x:row>
    <x:row r="61">
      <x:c r="A61" t="str">
        <x:v>EV-OFF-V003</x:v>
      </x:c>
      <x:c r="B61" t="str">
        <x:v>V003 / 杠铃卧推</x:v>
      </x:c>
      <x:c r="C61" t="str">
        <x:v>https://www.bilibili.com/video/BV1CSoKBaEgK</x:v>
      </x:c>
      <x:c r="D61" t="str">
        <x:v>凯圣王官方三分化②</x:v>
      </x:c>
      <x:c r="E61" t="str">
        <x:v>公开笔记：不要追求幅度；肩不舒服时降低幅度</x:v>
      </x:c>
      <x:c r="F61" t="str">
        <x:v>支持个体有效ROM而非统一触胸硬规则。</x:v>
      </x:c>
      <x:c r="G61" t="str">
        <x:v>官方跟练</x:v>
      </x:c>
      <x:c r="H61" t="str">
        <x:v>高</x:v>
      </x:c>
      <x:c r="I61" t="str">
        <x:v>technique</x:v>
      </x:c>
      <x:c r="J61" t="str">
        <x:v>是</x:v>
      </x:c>
      <x:c r="K61" t="str">
        <x:v>已定位</x:v>
      </x:c>
      <x:c r="L61" t="str">
        <x:v>可叠加卧推开发详解作为Media。</x:v>
      </x:c>
    </x:row>
    <x:row r="62">
      <x:c r="A62" t="str">
        <x:v>EV-OFF-V004</x:v>
      </x:c>
      <x:c r="B62" t="str">
        <x:v>V004 / 上斜哑铃卧推</x:v>
      </x:c>
      <x:c r="C62" t="str">
        <x:v>https://www.bilibili.com/video/BV1aa4y1o7XA</x:v>
      </x:c>
      <x:c r="D62" t="str">
        <x:v>凯圣王官方动作详解</x:v>
      </x:c>
      <x:c r="E62" t="str">
        <x:v>《上斜哑铃卧推详解》；三分化②公开笔记约45°</x:v>
      </x:c>
      <x:c r="F62" t="str">
        <x:v>角度约45°但随起桥/身体与器械调整。</x:v>
      </x:c>
      <x:c r="G62" t="str">
        <x:v>官方直接资料</x:v>
      </x:c>
      <x:c r="H62" t="str">
        <x:v>高</x:v>
      </x:c>
      <x:c r="I62" t="str">
        <x:v>technique</x:v>
      </x:c>
      <x:c r="J62" t="str">
        <x:v>是</x:v>
      </x:c>
      <x:c r="K62" t="str">
        <x:v>已定位</x:v>
      </x:c>
      <x:c r="L62" t="str">
        <x:v>不固定器械档位。</x:v>
      </x:c>
    </x:row>
    <x:row r="63">
      <x:c r="A63" t="str">
        <x:v>EV-OFF-V005</x:v>
      </x:c>
      <x:c r="B63" t="str">
        <x:v>V005 / 双杠退阶</x:v>
      </x:c>
      <x:c r="C63" t="str">
        <x:v>https://www.bilibili.com/video/BV1CSoKBaEgK</x:v>
      </x:c>
      <x:c r="D63" t="str">
        <x:v>凯圣王官方三分化②</x:v>
      </x:c>
      <x:c r="E63" t="str">
        <x:v>胸肩三头正式跟练</x:v>
      </x:c>
      <x:c r="F63" t="str">
        <x:v>官方跟练作为退阶/动作Media入口；退阶规则正文由原始合集直接支持。</x:v>
      </x:c>
      <x:c r="G63" t="str">
        <x:v>官方系列+原文</x:v>
      </x:c>
      <x:c r="H63" t="str">
        <x:v>高</x:v>
      </x:c>
      <x:c r="I63" t="str">
        <x:v>regression</x:v>
      </x:c>
      <x:c r="J63" t="str">
        <x:v>部分</x:v>
      </x:c>
      <x:c r="K63" t="str">
        <x:v>已定位</x:v>
      </x:c>
      <x:c r="L63" t="str">
        <x:v>规则本身无需继续作为视频blocker。</x:v>
      </x:c>
    </x:row>
    <x:row r="64">
      <x:c r="A64" t="str">
        <x:v>EV-OFF-V006</x:v>
      </x:c>
      <x:c r="B64" t="str">
        <x:v>V006 / 坐姿肩屈位绳索弯举</x:v>
      </x:c>
      <x:c r="C64" t="str">
        <x:v>https://www.bilibili.com/video/BV1v5opBhEDc/</x:v>
      </x:c>
      <x:c r="D64" t="str">
        <x:v>凯圣王官方三分化④</x:v>
      </x:c>
      <x:c r="E64" t="str">
        <x:v>背+后束+二头正式跟练</x:v>
      </x:c>
      <x:c r="F64" t="str">
        <x:v>结合原始计划“钢线弯举”和详细段“肩屈位的弯举”，Canonical命名可稳定为坐姿肩屈位绳索弯举。</x:v>
      </x:c>
      <x:c r="G64" t="str">
        <x:v>官方系列+原文</x:v>
      </x:c>
      <x:c r="H64" t="str">
        <x:v>中高</x:v>
      </x:c>
      <x:c r="I64" t="str">
        <x:v>technique</x:v>
      </x:c>
      <x:c r="J64" t="str">
        <x:v>是</x:v>
      </x:c>
      <x:c r="K64" t="str">
        <x:v>已定位</x:v>
      </x:c>
      <x:c r="L64" t="str">
        <x:v>组次/递进仍需单独证据。</x:v>
      </x:c>
    </x:row>
    <x:row r="65">
      <x:c r="A65" t="str">
        <x:v>EV-OFF-V007</x:v>
      </x:c>
      <x:c r="B65" t="str">
        <x:v>V007 / 坐姿开肘划船</x:v>
      </x:c>
      <x:c r="C65" t="str">
        <x:v>https://www.bilibili.com/video/BV1v5opBhEDc/</x:v>
      </x:c>
      <x:c r="D65" t="str">
        <x:v>凯圣王官方三分化④</x:v>
      </x:c>
      <x:c r="E65" t="str">
        <x:v>开肘划船专项上下文</x:v>
      </x:c>
      <x:c r="F65" t="str">
        <x:v>原始详细段明确中下斜方肌、肩胛内收、不抡甩；采用专项上下文解决总览冲突。</x:v>
      </x:c>
      <x:c r="G65" t="str">
        <x:v>官方系列+原文</x:v>
      </x:c>
      <x:c r="H65" t="str">
        <x:v>高</x:v>
      </x:c>
      <x:c r="I65" t="str">
        <x:v>technique</x:v>
      </x:c>
      <x:c r="J65" t="str">
        <x:v>是</x:v>
      </x:c>
      <x:c r="K65" t="str">
        <x:v>已定位</x:v>
      </x:c>
      <x:c r="L65" t="str">
        <x:v>Canonical目标=中下斜方肌/肩胛后缩。</x:v>
      </x:c>
    </x:row>
    <x:row r="66">
      <x:c r="A66" t="str">
        <x:v>EV-OFF-V008</x:v>
      </x:c>
      <x:c r="B66" t="str">
        <x:v>V008 / Day2顺序</x:v>
      </x:c>
      <x:c r="C66" t="str">
        <x:v>https://www.bilibili.com/video/BV1FcdZBNEm3</x:v>
      </x:c>
      <x:c r="D66" t="str">
        <x:v>凯圣王官方三分化①</x:v>
      </x:c>
      <x:c r="E66" t="str">
        <x:v>训练计划</x:v>
      </x:c>
      <x:c r="F66" t="str">
        <x:v>正式计划明确Day2顺序；跟练未明确发布替代Program。</x:v>
      </x:c>
      <x:c r="G66" t="str">
        <x:v>官方计划</x:v>
      </x:c>
      <x:c r="H66" t="str">
        <x:v>高</x:v>
      </x:c>
      <x:c r="I66" t="str">
        <x:v>prescription</x:v>
      </x:c>
      <x:c r="J66" t="str">
        <x:v>是</x:v>
      </x:c>
      <x:c r="K66" t="str">
        <x:v>已定位</x:v>
      </x:c>
      <x:c r="L66" t="str">
        <x:v>Canonical按正式计划顺序。</x:v>
      </x:c>
    </x:row>
    <x:row r="67">
      <x:c r="A67" t="str">
        <x:v>EV-OFF-V009</x:v>
      </x:c>
      <x:c r="B67" t="str">
        <x:v>V009 / Day3处方</x:v>
      </x:c>
      <x:c r="C67" t="str">
        <x:v>https://www.bilibili.com/video/BV17aovBqEdg/</x:v>
      </x:c>
      <x:c r="D67" t="str">
        <x:v>凯圣王官方三分化⑤</x:v>
      </x:c>
      <x:c r="E67" t="str">
        <x:v>腿部正式跟练；原始合集后段明确三项都是3组</x:v>
      </x:c>
      <x:c r="F67" t="str">
        <x:v>确认颈前深蹲、罗马尼亚硬拉、山羊挺身都是3组；精确次数和单腿两项组次仍需进一步定位。</x:v>
      </x:c>
      <x:c r="G67" t="str">
        <x:v>官方系列+原文</x:v>
      </x:c>
      <x:c r="H67" t="str">
        <x:v>中高</x:v>
      </x:c>
      <x:c r="I67" t="str">
        <x:v>prescription</x:v>
      </x:c>
      <x:c r="J67" t="str">
        <x:v>是</x:v>
      </x:c>
      <x:c r="K67" t="str">
        <x:v>部分已定位</x:v>
      </x:c>
      <x:c r="L67" t="str">
        <x:v>不能把邻近“8次”未经上下文确认套给三项。</x:v>
      </x:c>
    </x:row>
    <x:row r="68">
      <x:c r="A68" t="str">
        <x:v>EV-OFF-V010</x:v>
      </x:c>
      <x:c r="B68" t="str">
        <x:v>V010 / Warm-up Library</x:v>
      </x:c>
      <x:c r="C68" t="str">
        <x:v>https://www.bilibili.com/video/BV18J4m1878Q/</x:v>
      </x:c>
      <x:c r="D68" t="str">
        <x:v>凯圣王官方动作详解</x:v>
      </x:c>
      <x:c r="E68" t="str">
        <x:v>《深蹲热身详解》；三分化跟练中亦包含热身</x:v>
      </x:c>
      <x:c r="F68" t="str">
        <x:v>支持Warm-up作为独立训练前Protocol/Library建模，而非Progression的一部分。</x:v>
      </x:c>
      <x:c r="G68" t="str">
        <x:v>官方直接资料+原文</x:v>
      </x:c>
      <x:c r="H68" t="str">
        <x:v>高</x:v>
      </x:c>
      <x:c r="I68" t="str">
        <x:v>warmup</x:v>
      </x:c>
      <x:c r="J68" t="str">
        <x:v>部分</x:v>
      </x:c>
      <x:c r="K68" t="str">
        <x:v>已定位</x:v>
      </x:c>
      <x:c r="L68" t="str">
        <x:v>三天完整热身内容仍需结构化，不再是模块边界问题。</x:v>
      </x:c>
    </x:row>
    <x:row r="69">
      <x:c r="A69" t="str">
        <x:v>EV-P0-DAY3-DEFAULT</x:v>
      </x:c>
      <x:c r="B69" t="str">
        <x:v>Day3 / LOWER-V1-CAL / CAL-010</x:v>
      </x:c>
      <x:c r="C69" t="str">
        <x:v>Pawside_2.0_METHOD_P0_RESOLUTION_PATCH_v0.1</x:v>
      </x:c>
      <x:c r="D69" t="str">
        <x:v>产品发布策略</x:v>
      </x:c>
      <x:c r="E69" t="str">
        <x:v>Day3 V1 Runtime解决方案</x:v>
      </x:c>
      <x:c r="F69" t="str">
        <x:v>单腿硬拉3×12/侧、保加利亚3×10–12/侧、前蹲3×12–15、RDL 3×10–12作为产品执行默认；山羊挺身3×8为方法真值。</x:v>
      </x:c>
      <x:c r="G69" t="str">
        <x:v>字段级区分</x:v>
      </x:c>
      <x:c r="H69" t="str">
        <x:v>高</x:v>
      </x:c>
      <x:c r="I69" t="str">
        <x:v>prescription</x:v>
      </x:c>
      <x:c r="J69" t="str">
        <x:v>是</x:v>
      </x:c>
      <x:c r="K69" t="str">
        <x:v>产品已确认</x:v>
      </x:c>
      <x:c r="L69" t="str">
        <x:v>只支持V1 Runtime fallback；Strict Method Source仍开放。</x:v>
      </x:c>
    </x:row>
    <x:row r="70">
      <x:c r="A70" t="str">
        <x:v>EV-P0-CURL-DEFAULT</x:v>
      </x:c>
      <x:c r="B70" t="str">
        <x:v>Day2绳索弯举 / CURL-V1-CAL / CAL-010</x:v>
      </x:c>
      <x:c r="C70" t="str">
        <x:v>Pawside_2.0_METHOD_P0_RESOLUTION_PATCH_v0.1</x:v>
      </x:c>
      <x:c r="D70" t="str">
        <x:v>产品发布策略</x:v>
      </x:c>
      <x:c r="E70" t="str">
        <x:v>弯举V1 Execution Default</x:v>
      </x:c>
      <x:c r="F70" t="str">
        <x:v>3组为方法真值；12–15次与calibration-only为产品执行默认；不得生成12→15→加重的Method Rule。</x:v>
      </x:c>
      <x:c r="G70" t="str">
        <x:v>字段级区分</x:v>
      </x:c>
      <x:c r="H70" t="str">
        <x:v>高</x:v>
      </x:c>
      <x:c r="I70" t="str">
        <x:v>prescription</x:v>
      </x:c>
      <x:c r="J70" t="str">
        <x:v>是</x:v>
      </x:c>
      <x:c r="K70" t="str">
        <x:v>产品已确认</x:v>
      </x:c>
      <x:c r="L70" t="str">
        <x:v>UI与AI解释必须称为Pawside当前安排，不得称作者明确规定。</x:v>
      </x:c>
    </x:row>
  </x:sheetData>
  <x:mergeCells>
    <x:mergeCell ref="A1:L1"/>
    <x:mergeCell ref="A2:L2"/>
  </x:mergeCells>
  <x:dataValidations count="1">
    <x:dataValidation type="list" sqref="K5:K300">
      <x:formula1>"已定位,产品已确认,待补证据,待确认"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597e672e2bd497b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0" hidden="0" customWidth="1"/>
    <x:col min="3" max="3" width="38" hidden="0" customWidth="1"/>
    <x:col min="4" max="4" width="48" hidden="0" customWidth="1"/>
    <x:col min="5" max="5" width="34" hidden="0" customWidth="1"/>
    <x:col min="6" max="6" width="42" hidden="0" customWidth="1"/>
    <x:col min="7" max="7" width="24" hidden="0" customWidth="1"/>
    <x:col min="8" max="8" width="16" hidden="0" customWidth="1"/>
    <x:col min="9" max="9" width="38" hidden="0" customWidth="1"/>
    <x:col min="10" max="10" width="26" hidden="0" customWidth="1"/>
  </x:cols>
  <x:sheetData>
    <x:row r="1" ht="28" customHeight="1">
      <x:c r="A1" s="81" t="str">
        <x:v>Method RAG Ingestion Contract｜语义切片与检索</x:v>
      </x:c>
      <x:c r="B1" s="81"/>
      <x:c r="C1" s="81"/>
      <x:c r="D1" s="81"/>
      <x:c r="E1" s="81"/>
      <x:c r="F1" s="81"/>
      <x:c r="G1" s="81"/>
      <x:c r="H1" s="81"/>
      <x:c r="I1" s="81"/>
      <x:c r="J1" s="81"/>
    </x:row>
    <x:row r="2" ht="28" customHeight="1">
      <x:c r="A2" s="34" t="str">
        <x:v>RAG用于证据检索，不直接决定处方。先结构过滤，再语义排序；原文歧义必须保留，不能由模型自动补齐。</x:v>
      </x:c>
      <x:c r="B2" s="34"/>
      <x:c r="C2" s="34"/>
      <x:c r="D2" s="34"/>
      <x:c r="E2" s="34"/>
      <x:c r="F2" s="34"/>
      <x:c r="G2" s="34"/>
      <x:c r="H2" s="34"/>
      <x:c r="I2" s="34"/>
      <x:c r="J2" s="34"/>
    </x:row>
    <x:row r="3" ht="28" customHeight="1"/>
    <x:row r="4" ht="28" customHeight="1">
      <x:c r="A4" s="44" t="str">
        <x:v>ChunkType</x:v>
      </x:c>
      <x:c r="B4" s="44" t="str">
        <x:v>层级/对象</x:v>
      </x:c>
      <x:c r="C4" s="44" t="str">
        <x:v>切片边界</x:v>
      </x:c>
      <x:c r="D4" s="44" t="str">
        <x:v>必填Metadata</x:v>
      </x:c>
      <x:c r="E4" s="44" t="str">
        <x:v>建议检索过滤</x:v>
      </x:c>
      <x:c r="F4" s="44" t="str">
        <x:v>Embedding文本组成</x:v>
      </x:c>
      <x:c r="G4" s="44" t="str">
        <x:v>主要消费方</x:v>
      </x:c>
      <x:c r="H4" s="44" t="str">
        <x:v>运行时权威</x:v>
      </x:c>
      <x:c r="I4" s="44" t="str">
        <x:v>失败/歧义处理</x:v>
      </x:c>
      <x:c r="J4" s="44" t="str">
        <x:v>备注</x:v>
      </x:c>
    </x:row>
    <x:row r="5">
      <x:c r="A5" s="88" t="str">
        <x:v>method_principle</x:v>
      </x:c>
      <x:c r="B5" s="88" t="str">
        <x:v>方法全局</x:v>
      </x:c>
      <x:c r="C5" s="88" t="str">
        <x:v>一个完整原则/论证语义单元</x:v>
      </x:c>
      <x:c r="D5" s="88" t="str">
        <x:v>method_id,source_document_id,topic,source_range,confidence</x:v>
      </x:c>
      <x:c r="E5" s="88" t="str">
        <x:v>method_id + topic</x:v>
      </x:c>
      <x:c r="F5" s="88" t="str">
        <x:v>标题+正文+关键词</x:v>
      </x:c>
      <x:c r="G5" s="88" t="str">
        <x:v>解释/证据检索</x:v>
      </x:c>
      <x:c r="H5" s="88" t="str">
        <x:v>仅证据</x:v>
      </x:c>
      <x:c r="I5" s="88" t="str">
        <x:v>保留ambiguous，不转成规则</x:v>
      </x:c>
      <x:c r="J5" s="88" t="str">
        <x:v>不要按固定token粗切</x:v>
      </x:c>
    </x:row>
    <x:row r="6">
      <x:c r="A6" s="88" t="str">
        <x:v>split_structure</x:v>
      </x:c>
      <x:c r="B6" s="88" t="str">
        <x:v>训练日</x:v>
      </x:c>
      <x:c r="C6" s="88" t="str">
        <x:v>一个split结构+顺序</x:v>
      </x:c>
      <x:c r="D6" s="88" t="str">
        <x:v>method_id,split_key,topic,source_range</x:v>
      </x:c>
      <x:c r="E6" s="88" t="str">
        <x:v>method_id + split_key</x:v>
      </x:c>
      <x:c r="F6" s="88" t="str">
        <x:v>训练日+动作结构+正文</x:v>
      </x:c>
      <x:c r="G6" s="88" t="str">
        <x:v>结构核验</x:v>
      </x:c>
      <x:c r="H6" s="88" t="str">
        <x:v>仅证据</x:v>
      </x:c>
      <x:c r="I6" s="88" t="str">
        <x:v>顺序冲突进入视频待核验</x:v>
      </x:c>
      <x:c r="J6" s="88" t="str"/>
    </x:row>
    <x:row r="7">
      <x:c r="A7" s="88" t="str">
        <x:v>exercise_prescription</x:v>
      </x:c>
      <x:c r="B7" s="88" t="str">
        <x:v>动作处方</x:v>
      </x:c>
      <x:c r="C7" s="88" t="str">
        <x:v>同一动作一次完整处方描述</x:v>
      </x:c>
      <x:c r="D7" s="88" t="str">
        <x:v>method_id,split_key,exercise_id,topic=prescription</x:v>
      </x:c>
      <x:c r="E7" s="88" t="str">
        <x:v>exercise_id + topic</x:v>
      </x:c>
      <x:c r="F7" s="88" t="str">
        <x:v>动作名+处方+原文</x:v>
      </x:c>
      <x:c r="G7" s="88" t="str">
        <x:v>规则提取/解释</x:v>
      </x:c>
      <x:c r="H7" s="88" t="str">
        <x:v>仅证据</x:v>
      </x:c>
      <x:c r="I7" s="88" t="str">
        <x:v>缺组次则标evidence_needed</x:v>
      </x:c>
      <x:c r="J7" s="88" t="str"/>
    </x:row>
    <x:row r="8">
      <x:c r="A8" s="88" t="str">
        <x:v>exercise_progression</x:v>
      </x:c>
      <x:c r="B8" s="88" t="str">
        <x:v>动作进阶</x:v>
      </x:c>
      <x:c r="C8" s="88" t="str">
        <x:v>同一动作一段连续进阶逻辑</x:v>
      </x:c>
      <x:c r="D8" s="88" t="str">
        <x:v>method_id,exercise_id,topic=progression</x:v>
      </x:c>
      <x:c r="E8" s="88" t="str">
        <x:v>exercise_id + topic</x:v>
      </x:c>
      <x:c r="F8" s="88" t="str">
        <x:v>当前阶段+转移描述+原文</x:v>
      </x:c>
      <x:c r="G8" s="88" t="str">
        <x:v>Progression证据</x:v>
      </x:c>
      <x:c r="H8" s="88" t="str">
        <x:v>仅证据</x:v>
      </x:c>
      <x:c r="I8" s="88" t="str">
        <x:v>不跨动作合并</x:v>
      </x:c>
      <x:c r="J8" s="88" t="str"/>
    </x:row>
    <x:row r="9">
      <x:c r="A9" s="88" t="str">
        <x:v>exercise_technique</x:v>
      </x:c>
      <x:c r="B9" s="88" t="str">
        <x:v>动作技术</x:v>
      </x:c>
      <x:c r="C9" s="88" t="str">
        <x:v>一个可独立理解的setup/ROM/cue</x:v>
      </x:c>
      <x:c r="D9" s="88" t="str">
        <x:v>method_id,exercise_id,topic=technique,visual_required</x:v>
      </x:c>
      <x:c r="E9" s="88" t="str">
        <x:v>exercise_id + topic</x:v>
      </x:c>
      <x:c r="F9" s="88" t="str">
        <x:v>动作名+cue+正文</x:v>
      </x:c>
      <x:c r="G9" s="88" t="str">
        <x:v>动作卡/解释</x:v>
      </x:c>
      <x:c r="H9" s="88" t="str">
        <x:v>仅证据</x:v>
      </x:c>
      <x:c r="I9" s="88" t="str">
        <x:v>空间指代无法还原则video_needed</x:v>
      </x:c>
      <x:c r="J9" s="88" t="str"/>
    </x:row>
    <x:row r="10">
      <x:c r="A10" s="88" t="str">
        <x:v>failure_policy</x:v>
      </x:c>
      <x:c r="B10" s="88" t="str">
        <x:v>力竭策略</x:v>
      </x:c>
      <x:c r="C10" s="88" t="str">
        <x:v>一个完整“什么时候力竭/不力竭”原则</x:v>
      </x:c>
      <x:c r="D10" s="88" t="str">
        <x:v>method_id,topic=failure,exercise_id?</x:v>
      </x:c>
      <x:c r="E10" s="88" t="str">
        <x:v>topic + optional exercise</x:v>
      </x:c>
      <x:c r="F10" s="88" t="str">
        <x:v>原则+适用动作</x:v>
      </x:c>
      <x:c r="G10" s="88" t="str">
        <x:v>规则证据</x:v>
      </x:c>
      <x:c r="H10" s="88" t="str">
        <x:v>仅证据</x:v>
      </x:c>
      <x:c r="I10" s="88" t="str">
        <x:v>全局原则和动作特例分开</x:v>
      </x:c>
      <x:c r="J10" s="88" t="str"/>
    </x:row>
    <x:row r="11">
      <x:c r="A11" s="88" t="str">
        <x:v>rest_policy</x:v>
      </x:c>
      <x:c r="B11" s="88" t="str">
        <x:v>组间休息</x:v>
      </x:c>
      <x:c r="C11" s="88" t="str">
        <x:v>一个强度区间或完整原则</x:v>
      </x:c>
      <x:c r="D11" s="88" t="str">
        <x:v>method_id,topic=rest</x:v>
      </x:c>
      <x:c r="E11" s="88" t="str">
        <x:v>topic</x:v>
      </x:c>
      <x:c r="F11" s="88" t="str">
        <x:v>次数/强度+休息语义</x:v>
      </x:c>
      <x:c r="G11" s="88" t="str">
        <x:v>timer guidance</x:v>
      </x:c>
      <x:c r="H11" s="88" t="str">
        <x:v>仅证据</x:v>
      </x:c>
      <x:c r="I11" s="88" t="str">
        <x:v>不要强行变成单一秒数</x:v>
      </x:c>
      <x:c r="J11" s="88" t="str"/>
    </x:row>
    <x:row r="12">
      <x:c r="A12" s="88" t="str">
        <x:v>recovery_frequency</x:v>
      </x:c>
      <x:c r="B12" s="88" t="str">
        <x:v>恢复/频率</x:v>
      </x:c>
      <x:c r="C12" s="88" t="str">
        <x:v>一个恢复判断/频率原则</x:v>
      </x:c>
      <x:c r="D12" s="88" t="str">
        <x:v>method_id,topic=recovery</x:v>
      </x:c>
      <x:c r="E12" s="88" t="str">
        <x:v>topic</x:v>
      </x:c>
      <x:c r="F12" s="88" t="str">
        <x:v>恢复信号+训练频率语境</x:v>
      </x:c>
      <x:c r="G12" s="88" t="str">
        <x:v>Recovery解释</x:v>
      </x:c>
      <x:c r="H12" s="88" t="str">
        <x:v>仅证据</x:v>
      </x:c>
      <x:c r="I12" s="88" t="str">
        <x:v>医学阈值不外推</x:v>
      </x:c>
      <x:c r="J12" s="88" t="str"/>
    </x:row>
    <x:row r="13">
      <x:c r="A13" s="88" t="str">
        <x:v>exception_substitution</x:v>
      </x:c>
      <x:c r="B13" s="88" t="str">
        <x:v>异常/替代</x:v>
      </x:c>
      <x:c r="C13" s="88" t="str">
        <x:v>一个明确退阶/替代/例外</x:v>
      </x:c>
      <x:c r="D13" s="88" t="str">
        <x:v>method_id,exercise_id,topic=exception</x:v>
      </x:c>
      <x:c r="E13" s="88" t="str">
        <x:v>exercise_id + topic</x:v>
      </x:c>
      <x:c r="F13" s="88" t="str">
        <x:v>触发+替代+边界</x:v>
      </x:c>
      <x:c r="G13" s="88" t="str">
        <x:v>Adaptation</x:v>
      </x:c>
      <x:c r="H13" s="88" t="str">
        <x:v>仅证据</x:v>
      </x:c>
      <x:c r="I13" s="88" t="str">
        <x:v>方法没写则METHOD_GAP</x:v>
      </x:c>
      <x:c r="J13" s="88" t="str"/>
    </x:row>
    <x:row r="14">
      <x:c r="A14" s="88" t="str">
        <x:v>cycle_adjustment</x:v>
      </x:c>
      <x:c r="B14" s="88" t="str">
        <x:v>周期微调</x:v>
      </x:c>
      <x:c r="C14" s="88" t="str">
        <x:v>一个周期性变化规则</x:v>
      </x:c>
      <x:c r="D14" s="88" t="str">
        <x:v>method_id,topic=exception</x:v>
      </x:c>
      <x:c r="E14" s="88" t="str">
        <x:v>topic</x:v>
      </x:c>
      <x:c r="F14" s="88" t="str">
        <x:v>时间语境+原因+调整</x:v>
      </x:c>
      <x:c r="G14" s="88" t="str">
        <x:v>长期适应</x:v>
      </x:c>
      <x:c r="H14" s="88" t="str">
        <x:v>仅证据</x:v>
      </x:c>
      <x:c r="I14" s="88" t="str">
        <x:v>具体替换未明确则不生成细则</x:v>
      </x:c>
      <x:c r="J14" s="88" t="str"/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2fba1589070f4655"/>
  </x:tableParts>
</x:worksheet>
</file>

<file path=xl/worksheets/sheet1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4" hidden="0" customWidth="1"/>
    <x:col min="3" max="3" width="20" hidden="0" customWidth="1"/>
    <x:col min="4" max="4" width="28" hidden="0" customWidth="1"/>
    <x:col min="5" max="5" width="30" hidden="0" customWidth="1"/>
    <x:col min="6" max="6" width="46" hidden="0" customWidth="1"/>
    <x:col min="7" max="7" width="34" hidden="0" customWidth="1"/>
    <x:col min="8" max="8" width="28" hidden="0" customWidth="1"/>
    <x:col min="9" max="9" width="14" hidden="0" customWidth="1"/>
    <x:col min="10" max="10" width="14" hidden="0" customWidth="1"/>
    <x:col min="11" max="11" width="34" hidden="0" customWidth="1"/>
    <x:col min="12" max="12" width="34" hidden="0" customWidth="1"/>
  </x:cols>
  <x:sheetData>
    <x:row r="1" ht="28" customHeight="1">
      <x:c r="A1" s="81" t="str">
        <x:v>Workbook → Database / API Mapping</x:v>
      </x:c>
      <x:c r="B1" s="81"/>
      <x:c r="C1" s="81"/>
      <x:c r="D1" s="81"/>
      <x:c r="E1" s="81"/>
      <x:c r="F1" s="81"/>
      <x:c r="G1" s="81"/>
      <x:c r="H1" s="81"/>
      <x:c r="I1" s="81"/>
      <x:c r="J1" s="81"/>
      <x:c r="K1" s="81"/>
      <x:c r="L1" s="81"/>
    </x:row>
    <x:row r="2" ht="28" customHeight="1">
      <x:c r="A2" s="34" t="str">
        <x:v>明确“Excel哪一行最终挂到哪里”。生产Runtime只读DB，不读xlsx；用户事实与方法/产品策略分库语义。</x:v>
      </x:c>
      <x:c r="B2" s="34"/>
      <x:c r="C2" s="34"/>
      <x:c r="D2" s="34"/>
      <x:c r="E2" s="34"/>
      <x:c r="F2" s="34"/>
      <x:c r="G2" s="34"/>
      <x:c r="H2" s="34"/>
      <x:c r="I2" s="34"/>
      <x:c r="J2" s="34"/>
      <x:c r="K2" s="34"/>
      <x:c r="L2" s="34"/>
    </x:row>
    <x:row r="3" ht="28" customHeight="1"/>
    <x:row r="4" ht="28" customHeight="1">
      <x:c r="A4" s="44" t="str">
        <x:v>Workbook资产</x:v>
      </x:c>
      <x:c r="B4" s="44" t="str">
        <x:v>Row/对象</x:v>
      </x:c>
      <x:c r="C4" s="44" t="str">
        <x:v>权威类型</x:v>
      </x:c>
      <x:c r="D4" s="44" t="str">
        <x:v>目标DB表</x:v>
      </x:c>
      <x:c r="E4" s="44" t="str">
        <x:v>主键/关联键</x:v>
      </x:c>
      <x:c r="F4" s="44" t="str">
        <x:v>导入字段摘要</x:v>
      </x:c>
      <x:c r="G4" s="44" t="str">
        <x:v>Importer动作</x:v>
      </x:c>
      <x:c r="H4" s="44" t="str">
        <x:v>运行时读取方</x:v>
      </x:c>
      <x:c r="I4" s="44" t="str">
        <x:v>是否用户数据</x:v>
      </x:c>
      <x:c r="J4" s="44" t="str">
        <x:v>是否版本化</x:v>
      </x:c>
      <x:c r="K4" s="44" t="str">
        <x:v>更新策略</x:v>
      </x:c>
      <x:c r="L4" s="44" t="str">
        <x:v>备注</x:v>
      </x:c>
    </x:row>
    <x:row r="5">
      <x:c r="A5" s="88" t="str">
        <x:v>L0 原始txt/视频</x:v>
      </x:c>
      <x:c r="B5" s="88" t="str">
        <x:v>Source document</x:v>
      </x:c>
      <x:c r="C5" s="88" t="str">
        <x:v>方法证据</x:v>
      </x:c>
      <x:c r="D5" s="88" t="str">
        <x:v>method_source_documents</x:v>
      </x:c>
      <x:c r="E5" s="88" t="str">
        <x:v>id, method_id</x:v>
      </x:c>
      <x:c r="F5" s="88" t="str">
        <x:v>type,title,path,version,checksum,status</x:v>
      </x:c>
      <x:c r="G5" s="88" t="str">
        <x:v>insert by source importer</x:v>
      </x:c>
      <x:c r="H5" s="88" t="str">
        <x:v>RAG ingestion/admin</x:v>
      </x:c>
      <x:c r="I5" s="88" t="str">
        <x:v>否</x:v>
      </x:c>
      <x:c r="J5" s="88" t="str">
        <x:v>是</x:v>
      </x:c>
      <x:c r="K5" s="88" t="str">
        <x:v>新版本新增，不覆盖</x:v>
      </x:c>
      <x:c r="L5" s="88" t="str">
        <x:v>原始文件也保留Storage/git LFS策略</x:v>
      </x:c>
    </x:row>
    <x:row r="6">
      <x:c r="A6" s="88" t="str">
        <x:v>15_RAG切片规范</x:v>
      </x:c>
      <x:c r="B6" s="88" t="str">
        <x:v>Source chunk</x:v>
      </x:c>
      <x:c r="C6" s="88" t="str">
        <x:v>工程契约</x:v>
      </x:c>
      <x:c r="D6" s="88" t="str">
        <x:v>method_source_chunks</x:v>
      </x:c>
      <x:c r="E6" s="88" t="str">
        <x:v>id,source_document_id,method_id</x:v>
      </x:c>
      <x:c r="F6" s="88" t="str">
        <x:v>section,split,exercise,topic,content,embedding,source_range,confidence</x:v>
      </x:c>
      <x:c r="G6" s="88" t="str">
        <x:v>chunk/embed pipeline</x:v>
      </x:c>
      <x:c r="H6" s="88" t="str">
        <x:v>MethodContextBuilder</x:v>
      </x:c>
      <x:c r="I6" s="88" t="str">
        <x:v>否</x:v>
      </x:c>
      <x:c r="J6" s="88" t="str">
        <x:v>随source版本</x:v>
      </x:c>
      <x:c r="K6" s="88" t="str">
        <x:v>重建可追溯</x:v>
      </x:c>
      <x:c r="L6" s="88" t="str">
        <x:v>pgvector或等价向量列</x:v>
      </x:c>
    </x:row>
    <x:row r="7">
      <x:c r="A7" s="88" t="str">
        <x:v>02_方法论总览</x:v>
      </x:c>
      <x:c r="B7" s="88" t="str">
        <x:v>Principle rule</x:v>
      </x:c>
      <x:c r="C7" s="88" t="str">
        <x:v>方法真值</x:v>
      </x:c>
      <x:c r="D7" s="88" t="str">
        <x:v>method_rules</x:v>
      </x:c>
      <x:c r="E7" s="88" t="str">
        <x:v>method_release_id + rule_key</x:v>
      </x:c>
      <x:c r="F7" s="88" t="str">
        <x:v>rule_type=principle,config,explanation</x:v>
      </x:c>
      <x:c r="G7" s="88" t="str">
        <x:v>upsert into draft release</x:v>
      </x:c>
      <x:c r="H7" s="88" t="str">
        <x:v>Method/Review</x:v>
      </x:c>
      <x:c r="I7" s="88" t="str">
        <x:v>否</x:v>
      </x:c>
      <x:c r="J7" s="88" t="str">
        <x:v>是</x:v>
      </x:c>
      <x:c r="K7" s="88" t="str">
        <x:v>release内不可原地改active</x:v>
      </x:c>
      <x:c r="L7" s="88" t="str">
        <x:v>仅status=生效</x:v>
      </x:c>
    </x:row>
    <x:row r="8">
      <x:c r="A8" s="88" t="str">
        <x:v>03_计划结构</x:v>
      </x:c>
      <x:c r="B8" s="88" t="str">
        <x:v>Split</x:v>
      </x:c>
      <x:c r="C8" s="88" t="str">
        <x:v>方法真值</x:v>
      </x:c>
      <x:c r="D8" s="88" t="str">
        <x:v>method_splits</x:v>
      </x:c>
      <x:c r="E8" s="88" t="str">
        <x:v>method_release_id + split_key</x:v>
      </x:c>
      <x:c r="F8" s="88" t="str">
        <x:v>name,order,focus</x:v>
      </x:c>
      <x:c r="G8" s="88" t="str">
        <x:v>upsert draft release</x:v>
      </x:c>
      <x:c r="H8" s="88" t="str">
        <x:v>Prescription generator</x:v>
      </x:c>
      <x:c r="I8" s="88" t="str">
        <x:v>否</x:v>
      </x:c>
      <x:c r="J8" s="88" t="str">
        <x:v>是</x:v>
      </x:c>
      <x:c r="K8" s="88" t="str">
        <x:v>release scoped</x:v>
      </x:c>
      <x:c r="L8" s="88" t="str"/>
    </x:row>
    <x:row r="9">
      <x:c r="A9" s="88" t="str">
        <x:v>03_计划结构</x:v>
      </x:c>
      <x:c r="B9" s="88" t="str">
        <x:v>Split exercise</x:v>
      </x:c>
      <x:c r="C9" s="88" t="str">
        <x:v>方法真值</x:v>
      </x:c>
      <x:c r="D9" s="88" t="str">
        <x:v>method_split_exercises</x:v>
      </x:c>
      <x:c r="E9" s="88" t="str">
        <x:v>method_release_id+split+exercise</x:v>
      </x:c>
      <x:c r="F9" s="88" t="str">
        <x:v>order,role,prescription_rule_key,progression_rule_key</x:v>
      </x:c>
      <x:c r="G9" s="88" t="str">
        <x:v>upsert draft release</x:v>
      </x:c>
      <x:c r="H9" s="88" t="str">
        <x:v>Prescription generator</x:v>
      </x:c>
      <x:c r="I9" s="88" t="str">
        <x:v>否</x:v>
      </x:c>
      <x:c r="J9" s="88" t="str">
        <x:v>是</x:v>
      </x:c>
      <x:c r="K9" s="88" t="str">
        <x:v>release scoped</x:v>
      </x:c>
      <x:c r="L9" s="88" t="str">
        <x:v>动作canonical需确认</x:v>
      </x:c>
    </x:row>
    <x:row r="10">
      <x:c r="A10" s="88" t="str">
        <x:v>04_动作执行库</x:v>
      </x:c>
      <x:c r="B10" s="88" t="str">
        <x:v>Technique/prescription rules</x:v>
      </x:c>
      <x:c r="C10" s="88" t="str">
        <x:v>方法真值</x:v>
      </x:c>
      <x:c r="D10" s="88" t="str">
        <x:v>method_rules</x:v>
      </x:c>
      <x:c r="E10" s="88" t="str">
        <x:v>method_release_id + rule_key</x:v>
      </x:c>
      <x:c r="F10" s="88" t="str">
        <x:v>technique,cue,quality,regression</x:v>
      </x:c>
      <x:c r="G10" s="88" t="str">
        <x:v>upsert draft release</x:v>
      </x:c>
      <x:c r="H10" s="88" t="str">
        <x:v>Runtime/Review</x:v>
      </x:c>
      <x:c r="I10" s="88" t="str">
        <x:v>否</x:v>
      </x:c>
      <x:c r="J10" s="88" t="str">
        <x:v>是</x:v>
      </x:c>
      <x:c r="K10" s="88" t="str">
        <x:v>release scoped</x:v>
      </x:c>
      <x:c r="L10" s="88" t="str">
        <x:v>visual_required素材另存exercise_media</x:v>
      </x:c>
    </x:row>
    <x:row r="11">
      <x:c r="A11" s="88" t="str">
        <x:v>05_递进规则</x:v>
      </x:c>
      <x:c r="B11" s="88" t="str">
        <x:v>Progression rule</x:v>
      </x:c>
      <x:c r="C11" s="88" t="str">
        <x:v>方法真值</x:v>
      </x:c>
      <x:c r="D11" s="88" t="str">
        <x:v>method_rules</x:v>
      </x:c>
      <x:c r="E11" s="88" t="str">
        <x:v>method_release_id + rule_key</x:v>
      </x:c>
      <x:c r="F11" s="88" t="str">
        <x:v>stage sequence,conditions,next state</x:v>
      </x:c>
      <x:c r="G11" s="88" t="str">
        <x:v>upsert draft release</x:v>
      </x:c>
      <x:c r="H11" s="88" t="str">
        <x:v>Progression Engine</x:v>
      </x:c>
      <x:c r="I11" s="88" t="str">
        <x:v>否</x:v>
      </x:c>
      <x:c r="J11" s="88" t="str">
        <x:v>是</x:v>
      </x:c>
      <x:c r="K11" s="88" t="str">
        <x:v>release scoped</x:v>
      </x:c>
      <x:c r="L11" s="88" t="str">
        <x:v>核心状态机</x:v>
      </x:c>
    </x:row>
    <x:row r="12">
      <x:c r="A12" s="88" t="str">
        <x:v>12_重量校准规则</x:v>
      </x:c>
      <x:c r="B12" s="88" t="str">
        <x:v>Calibration rule</x:v>
      </x:c>
      <x:c r="C12" s="88" t="str">
        <x:v>方法+产品适应</x:v>
      </x:c>
      <x:c r="D12" s="88" t="str">
        <x:v>method_rules</x:v>
      </x:c>
      <x:c r="E12" s="88" t="str">
        <x:v>method_release_id + rule_key</x:v>
      </x:c>
      <x:c r="F12" s="88" t="str">
        <x:v>inputs,condition,direction,effect</x:v>
      </x:c>
      <x:c r="G12" s="88" t="str">
        <x:v>upsert draft release</x:v>
      </x:c>
      <x:c r="H12" s="88" t="str">
        <x:v>Calibration Engine</x:v>
      </x:c>
      <x:c r="I12" s="88" t="str">
        <x:v>否</x:v>
      </x:c>
      <x:c r="J12" s="88" t="str">
        <x:v>是</x:v>
      </x:c>
      <x:c r="K12" s="88" t="str">
        <x:v>方法部分随method release</x:v>
      </x:c>
      <x:c r="L12" s="88" t="str">
        <x:v>建议把产品策略来源保留metadata</x:v>
      </x:c>
    </x:row>
    <x:row r="13">
      <x:c r="A13" s="88" t="str">
        <x:v>13_适应场景矩阵</x:v>
      </x:c>
      <x:c r="B13" s="88" t="str">
        <x:v>Adaptation policy</x:v>
      </x:c>
      <x:c r="C13" s="88" t="str">
        <x:v>产品策略</x:v>
      </x:c>
      <x:c r="D13" s="88" t="str">
        <x:v>adaptation_policies</x:v>
      </x:c>
      <x:c r="E13" s="88" t="str">
        <x:v>policy_release_id + scenario_key</x:v>
      </x:c>
      <x:c r="F13" s="88" t="str">
        <x:v>trigger,safety,decision,effects,copy</x:v>
      </x:c>
      <x:c r="G13" s="88" t="str">
        <x:v>upsert policy draft</x:v>
      </x:c>
      <x:c r="H13" s="88" t="str">
        <x:v>Adaptation Engine</x:v>
      </x:c>
      <x:c r="I13" s="88" t="str">
        <x:v>否</x:v>
      </x:c>
      <x:c r="J13" s="88" t="str">
        <x:v>是</x:v>
      </x:c>
      <x:c r="K13" s="88" t="str">
        <x:v>独立coaching policy version</x:v>
      </x:c>
      <x:c r="L13" s="88" t="str">
        <x:v>避免把产品策略伪装成方法</x:v>
      </x:c>
    </x:row>
    <x:row r="14">
      <x:c r="A14" s="88" t="str">
        <x:v>14_规则证据索引</x:v>
      </x:c>
      <x:c r="B14" s="88" t="str">
        <x:v>Method evidence link</x:v>
      </x:c>
      <x:c r="C14" s="88" t="str">
        <x:v>证据关系</x:v>
      </x:c>
      <x:c r="D14" s="88" t="str">
        <x:v>method_rule_sources</x:v>
      </x:c>
      <x:c r="E14" s="88" t="str">
        <x:v>method_rule_id + source_chunk_id</x:v>
      </x:c>
      <x:c r="F14" s="88" t="str">
        <x:v>relationship,confidence,reviewed_at</x:v>
      </x:c>
      <x:c r="G14" s="88" t="str">
        <x:v>resolve evidence_id→chunk→insert link</x:v>
      </x:c>
      <x:c r="H14" s="88" t="str">
        <x:v>Explain/Audit</x:v>
      </x:c>
      <x:c r="I14" s="88" t="str">
        <x:v>否</x:v>
      </x:c>
      <x:c r="J14" s="88" t="str">
        <x:v>是</x:v>
      </x:c>
      <x:c r="K14" s="88" t="str">
        <x:v>随rule release</x:v>
      </x:c>
      <x:c r="L14" s="88" t="str">
        <x:v>产品策略证据不强制写入此表</x:v>
      </x:c>
    </x:row>
    <x:row r="15">
      <x:c r="A15" s="88" t="str">
        <x:v>10_枚举字典</x:v>
      </x:c>
      <x:c r="B15" s="88" t="str">
        <x:v>UI/internal enum</x:v>
      </x:c>
      <x:c r="C15" s="88" t="str">
        <x:v>UI契约</x:v>
      </x:c>
      <x:c r="D15" s="88" t="str">
        <x:v>app enum/config 或代码常量</x:v>
      </x:c>
      <x:c r="E15" s="88" t="str">
        <x:v>enum_key</x:v>
      </x:c>
      <x:c r="F15" s="88" t="str">
        <x:v>zh_label,internal_value</x:v>
      </x:c>
      <x:c r="G15" s="88" t="str">
        <x:v>generate/check only</x:v>
      </x:c>
      <x:c r="H15" s="88" t="str">
        <x:v>Frontend/API validation</x:v>
      </x:c>
      <x:c r="I15" s="88" t="str">
        <x:v>否</x:v>
      </x:c>
      <x:c r="J15" s="88" t="str">
        <x:v>随app版本</x:v>
      </x:c>
      <x:c r="K15" s="88" t="str">
        <x:v>不应覆盖方法规则</x:v>
      </x:c>
      <x:c r="L15" s="88" t="str">
        <x:v>可不必建DB表</x:v>
      </x:c>
    </x:row>
    <x:row r="16">
      <x:c r="A16" s="88" t="str">
        <x:v>User Runtime</x:v>
      </x:c>
      <x:c r="B16" s="88" t="str">
        <x:v>Enrollment</x:v>
      </x:c>
      <x:c r="C16" s="88" t="str">
        <x:v>用户运行状态</x:v>
      </x:c>
      <x:c r="D16" s="88" t="str">
        <x:v>method_enrollments</x:v>
      </x:c>
      <x:c r="E16" s="88" t="str">
        <x:v>user_id + enrollment_id</x:v>
      </x:c>
      <x:c r="F16" s="88" t="str">
        <x:v>method_release_id,status,current_cycle,next_split</x:v>
      </x:c>
      <x:c r="G16" s="88" t="str">
        <x:v>runtime create</x:v>
      </x:c>
      <x:c r="H16" s="88" t="str">
        <x:v>Home/Prescription</x:v>
      </x:c>
      <x:c r="I16" s="88" t="str">
        <x:v>是</x:v>
      </x:c>
      <x:c r="J16" s="88" t="str">
        <x:v>绑定release</x:v>
      </x:c>
      <x:c r="K16" s="88" t="str">
        <x:v>不因新release静默变更</x:v>
      </x:c>
      <x:c r="L16" s="88" t="str"/>
    </x:row>
    <x:row r="17">
      <x:c r="A17" s="88" t="str">
        <x:v>User Runtime</x:v>
      </x:c>
      <x:c r="B17" s="88" t="str">
        <x:v>Progression state</x:v>
      </x:c>
      <x:c r="C17" s="88" t="str">
        <x:v>用户运行状态</x:v>
      </x:c>
      <x:c r="D17" s="88" t="str">
        <x:v>user_exercise_progression</x:v>
      </x:c>
      <x:c r="E17" s="88" t="str">
        <x:v>user+enrollment+exercise</x:v>
      </x:c>
      <x:c r="F17" s="88" t="str">
        <x:v>stage,reference_weight,state_json</x:v>
      </x:c>
      <x:c r="G17" s="88" t="str">
        <x:v>runtime rules</x:v>
      </x:c>
      <x:c r="H17" s="88" t="str">
        <x:v>Progression/Prescription</x:v>
      </x:c>
      <x:c r="I17" s="88" t="str">
        <x:v>是</x:v>
      </x:c>
      <x:c r="J17" s="88" t="str">
        <x:v>状态随用户</x:v>
      </x:c>
      <x:c r="K17" s="88" t="str">
        <x:v>保留events审计</x:v>
      </x:c>
      <x:c r="L17" s="88" t="str"/>
    </x:row>
    <x:row r="18">
      <x:c r="A18" s="88" t="str">
        <x:v>User Runtime</x:v>
      </x:c>
      <x:c r="B18" s="88" t="str">
        <x:v>Actual set</x:v>
      </x:c>
      <x:c r="C18" s="88" t="str">
        <x:v>用户事实</x:v>
      </x:c>
      <x:c r="D18" s="88" t="str">
        <x:v>set_executions</x:v>
      </x:c>
      <x:c r="E18" s="88" t="str">
        <x:v>set_execution_id</x:v>
      </x:c>
      <x:c r="F18" s="88" t="str">
        <x:v>weight,reps,rir,failure,notes</x:v>
      </x:c>
      <x:c r="G18" s="88" t="str">
        <x:v>runtime API</x:v>
      </x:c>
      <x:c r="H18" s="88" t="str">
        <x:v>Calibration/Progression/Review</x:v>
      </x:c>
      <x:c r="I18" s="88" t="str">
        <x:v>是</x:v>
      </x:c>
      <x:c r="J18" s="88" t="str">
        <x:v>否</x:v>
      </x:c>
      <x:c r="K18" s="88" t="str">
        <x:v>可纠错+重算</x:v>
      </x:c>
      <x:c r="L18" s="88" t="str"/>
    </x:row>
    <x:row r="19">
      <x:c r="A19" s="88" t="str">
        <x:v>User Runtime</x:v>
      </x:c>
      <x:c r="B19" s="88" t="str">
        <x:v>Deviation</x:v>
      </x:c>
      <x:c r="C19" s="88" t="str">
        <x:v>用户事实</x:v>
      </x:c>
      <x:c r="D19" s="88" t="str">
        <x:v>training_deviations</x:v>
      </x:c>
      <x:c r="E19" s="88" t="str">
        <x:v>id + workout_session</x:v>
      </x:c>
      <x:c r="F19" s="88" t="str">
        <x:v>type,reason,note,detected_by</x:v>
      </x:c>
      <x:c r="G19" s="88" t="str">
        <x:v>auto detect + user reason</x:v>
      </x:c>
      <x:c r="H19" s="88" t="str">
        <x:v>Adaptation/Review</x:v>
      </x:c>
      <x:c r="I19" s="88" t="str">
        <x:v>是</x:v>
      </x:c>
      <x:c r="J19" s="88" t="str">
        <x:v>否</x:v>
      </x:c>
      <x:c r="K19" s="88" t="str">
        <x:v>事实不可由AI覆盖</x:v>
      </x:c>
      <x:c r="L19" s="88" t="str"/>
    </x:row>
    <x:row r="20">
      <x:c r="A20" s="88" t="str">
        <x:v>User Runtime</x:v>
      </x:c>
      <x:c r="B20" s="88" t="str">
        <x:v>Discomfort</x:v>
      </x:c>
      <x:c r="C20" s="88" t="str">
        <x:v>用户事实</x:v>
      </x:c>
      <x:c r="D20" s="88" t="str">
        <x:v>training_discomfort_events</x:v>
      </x:c>
      <x:c r="E20" s="88" t="str">
        <x:v>id + user/session/exercise</x:v>
      </x:c>
      <x:c r="F20" s="88" t="str">
        <x:v>region,severity,tolerable,note</x:v>
      </x:c>
      <x:c r="G20" s="88" t="str">
        <x:v>runtime</x:v>
      </x:c>
      <x:c r="H20" s="88" t="str">
        <x:v>Safety/Recovery</x:v>
      </x:c>
      <x:c r="I20" s="88" t="str">
        <x:v>是</x:v>
      </x:c>
      <x:c r="J20" s="88" t="str">
        <x:v>否</x:v>
      </x:c>
      <x:c r="K20" s="88" t="str">
        <x:v>非医疗诊断</x:v>
      </x:c>
      <x:c r="L20" s="88" t="str"/>
    </x:row>
    <x:row r="21">
      <x:c r="A21" s="88" t="str">
        <x:v>User Runtime</x:v>
      </x:c>
      <x:c r="B21" s="88" t="str">
        <x:v>Adaptation decision</x:v>
      </x:c>
      <x:c r="C21" s="88" t="str">
        <x:v>规则派生</x:v>
      </x:c>
      <x:c r="D21" s="88" t="str">
        <x:v>adaptation_decisions</x:v>
      </x:c>
      <x:c r="E21" s="88" t="str">
        <x:v>id + scope</x:v>
      </x:c>
      <x:c r="F21" s="88" t="str">
        <x:v>decision,reasons,input_snapshot,policy_version</x:v>
      </x:c>
      <x:c r="G21" s="88" t="str">
        <x:v>Adaptation Engine</x:v>
      </x:c>
      <x:c r="H21" s="88" t="str">
        <x:v>Next Prescription/Review</x:v>
      </x:c>
      <x:c r="I21" s="88" t="str">
        <x:v>是</x:v>
      </x:c>
      <x:c r="J21" s="88" t="str">
        <x:v>保留版本</x:v>
      </x:c>
      <x:c r="K21" s="88" t="str">
        <x:v>append-only audit</x:v>
      </x:c>
      <x:c r="L21" s="88" t="str"/>
    </x:row>
    <x:row r="22">
      <x:c r="A22" s="88" t="str">
        <x:v>User Runtime</x:v>
      </x:c>
      <x:c r="B22" s="88" t="str">
        <x:v>Coaching signal</x:v>
      </x:c>
      <x:c r="C22" s="88" t="str">
        <x:v>多次事实派生</x:v>
      </x:c>
      <x:c r="D22" s="88" t="str">
        <x:v>user_coaching_signals</x:v>
      </x:c>
      <x:c r="E22" s="88" t="str">
        <x:v>user+signal_key</x:v>
      </x:c>
      <x:c r="F22" s="88" t="str">
        <x:v>type,value,evidence_count,confidence,status</x:v>
      </x:c>
      <x:c r="G22" s="88" t="str">
        <x:v>signal aggregator</x:v>
      </x:c>
      <x:c r="H22" s="88" t="str">
        <x:v>ContextBuilder</x:v>
      </x:c>
      <x:c r="I22" s="88" t="str">
        <x:v>是</x:v>
      </x:c>
      <x:c r="J22" s="88" t="str">
        <x:v>算法版本可记metadata</x:v>
      </x:c>
      <x:c r="K22" s="88" t="str">
        <x:v>不能人格化推断</x:v>
      </x:c>
      <x:c r="L22" s="88" t="str"/>
    </x:row>
    <x:row r="23">
      <x:c r="A23" t="str">
        <x:v>Release治理</x:v>
      </x:c>
      <x:c r="B23" t="str">
        <x:v>Method release</x:v>
      </x:c>
      <x:c r="C23" t="str">
        <x:v>系统治理</x:v>
      </x:c>
      <x:c r="D23" t="str">
        <x:v>method_releases</x:v>
      </x:c>
      <x:c r="E23" t="str">
        <x:v>id + method_id + version</x:v>
      </x:c>
      <x:c r="F23" t="str">
        <x:v>workbook_checksum,source_checksum,status,activated_at</x:v>
      </x:c>
      <x:c r="G23" t="str">
        <x:v>validation通过后创建draft；activate时锁定</x:v>
      </x:c>
      <x:c r="H23" t="str">
        <x:v>所有Method Runtime通过method_release_id读取</x:v>
      </x:c>
      <x:c r="I23" t="str">
        <x:v>否</x:v>
      </x:c>
      <x:c r="J23" t="str">
        <x:v>是</x:v>
      </x:c>
      <x:c r="K23" t="str">
        <x:v>active release不可原地覆盖</x:v>
      </x:c>
      <x:c r="L23" t="str">
        <x:v>用户enrollment必须绑定method_release_id，确保历史可重放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1d37fed51f914111"/>
  </x:tableParts>
</x:worksheet>
</file>

<file path=xl/worksheets/sheet1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4" hidden="0" customWidth="1"/>
    <x:col min="3" max="3" width="14" hidden="0" customWidth="1"/>
    <x:col min="4" max="4" width="34" hidden="0" customWidth="1"/>
    <x:col min="5" max="5" width="28" hidden="0" customWidth="1"/>
    <x:col min="6" max="6" width="22" hidden="0" customWidth="1"/>
    <x:col min="7" max="7" width="48" hidden="0" customWidth="1"/>
    <x:col min="8" max="8" width="34" hidden="0" customWidth="1"/>
    <x:col min="9" max="9" width="24" hidden="0" customWidth="1"/>
    <x:col min="10" max="10" width="16" hidden="0" customWidth="1"/>
    <x:col min="11" max="11" width="32" hidden="0" customWidth="1"/>
    <x:col min="12" max="12" width="18" hidden="0" customWidth="1"/>
  </x:cols>
  <x:sheetData>
    <x:row r="1" ht="28" customHeight="1">
      <x:c r="A1" s="81" t="str">
        <x:v>Canonical Workbook Import Contract｜唯一导入规范</x:v>
      </x:c>
      <x:c r="B1" s="81"/>
      <x:c r="C1" s="81"/>
      <x:c r="D1" s="81"/>
      <x:c r="E1" s="81"/>
      <x:c r="F1" s="81"/>
      <x:c r="G1" s="81"/>
      <x:c r="H1" s="81"/>
      <x:c r="I1" s="81"/>
      <x:c r="J1" s="81"/>
      <x:c r="K1" s="81"/>
      <x:c r="L1" s="81"/>
    </x:row>
    <x:row r="2" ht="28" customHeight="1">
      <x:c r="A2" s="34" t="str">
        <x:v>工程只能按本表导入；禁止应用代码运行时直接解析xlsx。Importer必须先生成validation report和diff，再写draft release。</x:v>
      </x:c>
      <x:c r="B2" s="34"/>
      <x:c r="C2" s="34"/>
      <x:c r="D2" s="34"/>
      <x:c r="E2" s="34"/>
      <x:c r="F2" s="34"/>
      <x:c r="G2" s="34"/>
      <x:c r="H2" s="34"/>
      <x:c r="I2" s="34"/>
      <x:c r="J2" s="34"/>
      <x:c r="K2" s="34"/>
      <x:c r="L2" s="34"/>
    </x:row>
    <x:row r="3" ht="28" customHeight="1"/>
    <x:row r="4" ht="28" customHeight="1">
      <x:c r="A4" s="44" t="str">
        <x:v>Sheet</x:v>
      </x:c>
      <x:c r="B4" s="44" t="str">
        <x:v>用途</x:v>
      </x:c>
      <x:c r="C4" s="44" t="str">
        <x:v>Runtime Import?</x:v>
      </x:c>
      <x:c r="D4" s="44" t="str">
        <x:v>目标表/产物</x:v>
      </x:c>
      <x:c r="E4" s="44" t="str">
        <x:v>Required Key</x:v>
      </x:c>
      <x:c r="F4" s="44" t="str">
        <x:v>允许导入状态</x:v>
      </x:c>
      <x:c r="G4" s="44" t="str">
        <x:v>核心校验</x:v>
      </x:c>
      <x:c r="H4" s="44" t="str">
        <x:v>Upsert/生成规则</x:v>
      </x:c>
      <x:c r="I4" s="44" t="str">
        <x:v>版本行为</x:v>
      </x:c>
      <x:c r="J4" s="44" t="str">
        <x:v>Release Blocker</x:v>
      </x:c>
      <x:c r="K4" s="44" t="str">
        <x:v>失败处理</x:v>
      </x:c>
      <x:c r="L4" s="44" t="str">
        <x:v>Owner</x:v>
      </x:c>
    </x:row>
    <x:row r="5">
      <x:c r="A5" s="88" t="str">
        <x:v>00_使用说明</x:v>
      </x:c>
      <x:c r="B5" s="88" t="str">
        <x:v>治理/registry</x:v>
      </x:c>
      <x:c r="C5" s="88" t="str">
        <x:v>否</x:v>
      </x:c>
      <x:c r="D5" s="88" t="str">
        <x:v>无</x:v>
      </x:c>
      <x:c r="E5" s="88" t="str">
        <x:v>—</x:v>
      </x:c>
      <x:c r="F5" s="88" t="str">
        <x:v>—</x:v>
      </x:c>
      <x:c r="G5" s="88" t="str">
        <x:v>存在且版本说明完整</x:v>
      </x:c>
      <x:c r="H5" s="88" t="str">
        <x:v>无</x:v>
      </x:c>
      <x:c r="I5" s="88" t="str">
        <x:v>随Workbook版本</x:v>
      </x:c>
      <x:c r="J5" s="88" t="str">
        <x:v>是</x:v>
      </x:c>
      <x:c r="K5" s="88" t="str">
        <x:v>拒绝发布</x:v>
      </x:c>
      <x:c r="L5" s="88" t="str">
        <x:v>产品+工程</x:v>
      </x:c>
    </x:row>
    <x:row r="6">
      <x:c r="A6" s="88" t="str">
        <x:v>01_字段确认</x:v>
      </x:c>
      <x:c r="B6" s="88" t="str">
        <x:v>历史验证</x:v>
      </x:c>
      <x:c r="C6" s="88" t="str">
        <x:v>否</x:v>
      </x:c>
      <x:c r="D6" s="88" t="str">
        <x:v>无</x:v>
      </x:c>
      <x:c r="E6" s="88" t="str">
        <x:v>—</x:v>
      </x:c>
      <x:c r="F6" s="88" t="str">
        <x:v>—</x:v>
      </x:c>
      <x:c r="G6" s="88" t="str">
        <x:v>仅保留，不参与runtime</x:v>
      </x:c>
      <x:c r="H6" s="88" t="str">
        <x:v>无</x:v>
      </x:c>
      <x:c r="I6" s="88" t="str">
        <x:v>归档</x:v>
      </x:c>
      <x:c r="J6" s="88" t="str">
        <x:v>否</x:v>
      </x:c>
      <x:c r="K6" s="88" t="str">
        <x:v>忽略</x:v>
      </x:c>
      <x:c r="L6" s="88" t="str">
        <x:v>产品</x:v>
      </x:c>
    </x:row>
    <x:row r="7">
      <x:c r="A7" s="88" t="str">
        <x:v>02_方法论总览</x:v>
      </x:c>
      <x:c r="B7" s="88" t="str">
        <x:v>方法原则</x:v>
      </x:c>
      <x:c r="C7" s="88" t="str">
        <x:v>是</x:v>
      </x:c>
      <x:c r="D7" s="88" t="str">
        <x:v>method_rules(principle)</x:v>
      </x:c>
      <x:c r="E7" s="88" t="str">
        <x:v>规则ID</x:v>
      </x:c>
      <x:c r="F7" s="88" t="str">
        <x:v>生效</x:v>
      </x:c>
      <x:c r="G7" s="88" t="str">
        <x:v>RuleID唯一；来源/证据可追溯</x:v>
      </x:c>
      <x:c r="H7" s="88" t="str">
        <x:v>release-scoped upsert</x:v>
      </x:c>
      <x:c r="I7" s="88" t="str">
        <x:v>新release</x:v>
      </x:c>
      <x:c r="J7" s="88" t="str">
        <x:v>是</x:v>
      </x:c>
      <x:c r="K7" s="88" t="str">
        <x:v>validation error</x:v>
      </x:c>
      <x:c r="L7" s="88" t="str">
        <x:v>产品/方法审核</x:v>
      </x:c>
    </x:row>
    <x:row r="8">
      <x:c r="A8" s="88" t="str">
        <x:v>03_计划结构</x:v>
      </x:c>
      <x:c r="B8" s="88" t="str">
        <x:v>split/动作模板</x:v>
      </x:c>
      <x:c r="C8" s="88" t="str">
        <x:v>是</x:v>
      </x:c>
      <x:c r="D8" s="88" t="str">
        <x:v>method_splits + method_split_exercises</x:v>
      </x:c>
      <x:c r="E8" s="88" t="str">
        <x:v>Day+顺序+Canonical动作</x:v>
      </x:c>
      <x:c r="F8" s="88" t="str">
        <x:v>生效/高置信且无P0 blocker</x:v>
      </x:c>
      <x:c r="G8" s="88" t="str">
        <x:v>顺序唯一；exercise mapping存在；P0处方字段完整</x:v>
      </x:c>
      <x:c r="H8" s="88" t="str">
        <x:v>release-scoped upsert</x:v>
      </x:c>
      <x:c r="I8" s="88" t="str">
        <x:v>新release</x:v>
      </x:c>
      <x:c r="J8" s="88" t="str">
        <x:v>是</x:v>
      </x:c>
      <x:c r="K8" s="88" t="str">
        <x:v>阻塞对应split</x:v>
      </x:c>
      <x:c r="L8" s="88" t="str">
        <x:v>产品/方法审核</x:v>
      </x:c>
    </x:row>
    <x:row r="9">
      <x:c r="A9" s="88" t="str">
        <x:v>04_动作执行库</x:v>
      </x:c>
      <x:c r="B9" s="88" t="str">
        <x:v>动作cue/边界</x:v>
      </x:c>
      <x:c r="C9" s="88" t="str">
        <x:v>是</x:v>
      </x:c>
      <x:c r="D9" s="88" t="str">
        <x:v>method_rules(technique/prescription)</x:v>
      </x:c>
      <x:c r="E9" s="88" t="str">
        <x:v>动作+规则类型</x:v>
      </x:c>
      <x:c r="F9" s="88" t="str">
        <x:v>生效</x:v>
      </x:c>
      <x:c r="G9" s="88" t="str">
        <x:v>动作存在；关键停止/退阶不矛盾</x:v>
      </x:c>
      <x:c r="H9" s="88" t="str">
        <x:v>release-scoped upsert</x:v>
      </x:c>
      <x:c r="I9" s="88" t="str">
        <x:v>新release</x:v>
      </x:c>
      <x:c r="J9" s="88" t="str">
        <x:v>部分</x:v>
      </x:c>
      <x:c r="K9" s="88" t="str">
        <x:v>缺视觉素材可降级文字；规则冲突阻塞</x:v>
      </x:c>
      <x:c r="L9" s="88" t="str">
        <x:v>产品</x:v>
      </x:c>
    </x:row>
    <x:row r="10">
      <x:c r="A10" s="88" t="str">
        <x:v>05_递进规则</x:v>
      </x:c>
      <x:c r="B10" s="88" t="str">
        <x:v>进阶状态机</x:v>
      </x:c>
      <x:c r="C10" s="88" t="str">
        <x:v>是</x:v>
      </x:c>
      <x:c r="D10" s="88" t="str">
        <x:v>method_rules(progression)</x:v>
      </x:c>
      <x:c r="E10" s="88" t="str">
        <x:v>RuleID</x:v>
      </x:c>
      <x:c r="F10" s="88" t="str">
        <x:v>生效</x:v>
      </x:c>
      <x:c r="G10" s="88" t="str">
        <x:v>stage可达；next state存在；无循环错误(除明确循环)</x:v>
      </x:c>
      <x:c r="H10" s="88" t="str">
        <x:v>release-scoped upsert</x:v>
      </x:c>
      <x:c r="I10" s="88" t="str">
        <x:v>新release</x:v>
      </x:c>
      <x:c r="J10" s="88" t="str">
        <x:v>是</x:v>
      </x:c>
      <x:c r="K10" s="88" t="str">
        <x:v>阻塞对应动作</x:v>
      </x:c>
      <x:c r="L10" s="88" t="str">
        <x:v>产品/方法审核</x:v>
      </x:c>
    </x:row>
    <x:row r="11">
      <x:c r="A11" s="88" t="str">
        <x:v>06_训练执行Tracking</x:v>
      </x:c>
      <x:c r="B11" s="88" t="str">
        <x:v>测试fixture</x:v>
      </x:c>
      <x:c r="C11" s="88" t="str">
        <x:v>否</x:v>
      </x:c>
      <x:c r="D11" s="88" t="str">
        <x:v>QA fixture export</x:v>
      </x:c>
      <x:c r="E11" s="88" t="str">
        <x:v>—</x:v>
      </x:c>
      <x:c r="F11" s="88" t="str">
        <x:v>—</x:v>
      </x:c>
      <x:c r="G11" s="88" t="str">
        <x:v>列结构与Spec一致</x:v>
      </x:c>
      <x:c r="H11" s="88" t="str">
        <x:v>测试用</x:v>
      </x:c>
      <x:c r="I11" s="88" t="str">
        <x:v>随app版本</x:v>
      </x:c>
      <x:c r="J11" s="88" t="str">
        <x:v>否</x:v>
      </x:c>
      <x:c r="K11" s="88" t="str">
        <x:v>不影响发布</x:v>
      </x:c>
      <x:c r="L11" s="88" t="str">
        <x:v>QA</x:v>
      </x:c>
    </x:row>
    <x:row r="12">
      <x:c r="A12" s="88" t="str">
        <x:v>07_恢复疲劳Tracking</x:v>
      </x:c>
      <x:c r="B12" s="88" t="str">
        <x:v>验证fixture</x:v>
      </x:c>
      <x:c r="C12" s="88" t="str">
        <x:v>否</x:v>
      </x:c>
      <x:c r="D12" s="88" t="str">
        <x:v>QA/research fixture</x:v>
      </x:c>
      <x:c r="E12" s="88" t="str">
        <x:v>—</x:v>
      </x:c>
      <x:c r="F12" s="88" t="str">
        <x:v>—</x:v>
      </x:c>
      <x:c r="G12" s="88" t="str">
        <x:v>不把高级指标变成V1必填</x:v>
      </x:c>
      <x:c r="H12" s="88" t="str">
        <x:v>测试用</x:v>
      </x:c>
      <x:c r="I12" s="88" t="str">
        <x:v>随产品版本</x:v>
      </x:c>
      <x:c r="J12" s="88" t="str">
        <x:v>否</x:v>
      </x:c>
      <x:c r="K12" s="88" t="str">
        <x:v>不影响发布</x:v>
      </x:c>
      <x:c r="L12" s="88" t="str">
        <x:v>产品/QA</x:v>
      </x:c>
    </x:row>
    <x:row r="13">
      <x:c r="A13" s="88" t="str">
        <x:v>08_周周期复盘</x:v>
      </x:c>
      <x:c r="B13" s="88" t="str">
        <x:v>测试fixture</x:v>
      </x:c>
      <x:c r="C13" s="88" t="str">
        <x:v>否</x:v>
      </x:c>
      <x:c r="D13" s="88" t="str">
        <x:v>QA fixture</x:v>
      </x:c>
      <x:c r="E13" s="88" t="str">
        <x:v>—</x:v>
      </x:c>
      <x:c r="F13" s="88" t="str">
        <x:v>—</x:v>
      </x:c>
      <x:c r="G13" s="88" t="str">
        <x:v>汇总逻辑不使用旧weekly_target</x:v>
      </x:c>
      <x:c r="H13" s="88" t="str">
        <x:v>测试用</x:v>
      </x:c>
      <x:c r="I13" s="88" t="str">
        <x:v>随产品版本</x:v>
      </x:c>
      <x:c r="J13" s="88" t="str">
        <x:v>否</x:v>
      </x:c>
      <x:c r="K13" s="88" t="str">
        <x:v>不影响发布</x:v>
      </x:c>
      <x:c r="L13" s="88" t="str">
        <x:v>QA</x:v>
      </x:c>
    </x:row>
    <x:row r="14">
      <x:c r="A14" s="88" t="str">
        <x:v>09_视频待核验</x:v>
      </x:c>
      <x:c r="B14" s="88" t="str">
        <x:v>官方解析 / blocker ledger</x:v>
      </x:c>
      <x:c r="C14" s="88" t="str">
        <x:v>否</x:v>
      </x:c>
      <x:c r="D14" s="88" t="str">
        <x:v>release validation input</x:v>
      </x:c>
      <x:c r="E14" s="88" t="str">
        <x:v>ID</x:v>
      </x:c>
      <x:c r="F14" s="88" t="str">
        <x:v>已解决/部分解决</x:v>
      </x:c>
      <x:c r="G14" s="88" t="str">
        <x:v>仅`是否阻塞发布=是`的行阻塞Method release；已解决行保留作审计</x:v>
      </x:c>
      <x:c r="H14" s="88" t="str">
        <x:v>validation read only</x:v>
      </x:c>
      <x:c r="I14" s="88" t="str">
        <x:v>随source修订</x:v>
      </x:c>
      <x:c r="J14" s="88" t="str">
        <x:v>是</x:v>
      </x:c>
      <x:c r="K14" s="88" t="str">
        <x:v>阻塞对应scope，不阻塞已解决范围</x:v>
      </x:c>
      <x:c r="L14" s="88" t="str">
        <x:v>产品/方法审核</x:v>
      </x:c>
    </x:row>
    <x:row r="15">
      <x:c r="A15" s="88" t="str">
        <x:v>10_枚举字典</x:v>
      </x:c>
      <x:c r="B15" s="88" t="str">
        <x:v>中文词典/内部枚举</x:v>
      </x:c>
      <x:c r="C15" s="88" t="str">
        <x:v>条件式</x:v>
      </x:c>
      <x:c r="D15" s="88" t="str">
        <x:v>生成代码常量/校验schema</x:v>
      </x:c>
      <x:c r="E15" s="88" t="str">
        <x:v>业务概念</x:v>
      </x:c>
      <x:c r="F15" s="88" t="str">
        <x:v>生效</x:v>
      </x:c>
      <x:c r="G15" s="88" t="str">
        <x:v>internal key稳定、中文不为空</x:v>
      </x:c>
      <x:c r="H15" s="88" t="str">
        <x:v>generate/check</x:v>
      </x:c>
      <x:c r="I15" s="88" t="str">
        <x:v>app version</x:v>
      </x:c>
      <x:c r="J15" s="88" t="str">
        <x:v>部分</x:v>
      </x:c>
      <x:c r="K15" s="88" t="str">
        <x:v>fallback到已发布枚举</x:v>
      </x:c>
      <x:c r="L15" s="88" t="str">
        <x:v>产品+工程</x:v>
      </x:c>
    </x:row>
    <x:row r="16">
      <x:c r="A16" s="88" t="str">
        <x:v>11_来源与原文定位</x:v>
      </x:c>
      <x:c r="B16" s="88" t="str">
        <x:v>来源登记</x:v>
      </x:c>
      <x:c r="C16" s="88" t="str">
        <x:v>否</x:v>
      </x:c>
      <x:c r="D16" s="88" t="str">
        <x:v>source import config参考</x:v>
      </x:c>
      <x:c r="E16" s="88" t="str">
        <x:v>来源</x:v>
      </x:c>
      <x:c r="F16" s="88" t="str">
        <x:v>—</x:v>
      </x:c>
      <x:c r="G16" s="88" t="str">
        <x:v>source path/version/checksum可解析</x:v>
      </x:c>
      <x:c r="H16" s="88" t="str">
        <x:v>无</x:v>
      </x:c>
      <x:c r="I16" s="88" t="str">
        <x:v>source version</x:v>
      </x:c>
      <x:c r="J16" s="88" t="str">
        <x:v>否</x:v>
      </x:c>
      <x:c r="K16" s="88" t="str">
        <x:v>提示</x:v>
      </x:c>
      <x:c r="L16" s="88" t="str">
        <x:v>产品</x:v>
      </x:c>
    </x:row>
    <x:row r="17">
      <x:c r="A17" s="88" t="str">
        <x:v>12_重量校准规则</x:v>
      </x:c>
      <x:c r="B17" s="88" t="str">
        <x:v>负重匹配规则</x:v>
      </x:c>
      <x:c r="C17" s="88" t="str">
        <x:v>是</x:v>
      </x:c>
      <x:c r="D17" s="88" t="str">
        <x:v>method_rules(calibration)</x:v>
      </x:c>
      <x:c r="E17" s="88" t="str">
        <x:v>RuleID</x:v>
      </x:c>
      <x:c r="F17" s="88" t="str">
        <x:v>生效</x:v>
      </x:c>
      <x:c r="G17" s="88" t="str">
        <x:v>不将calibration误写成progression；步长不能凭空固定</x:v>
      </x:c>
      <x:c r="H17" s="88" t="str">
        <x:v>release-scoped upsert</x:v>
      </x:c>
      <x:c r="I17" s="88" t="str">
        <x:v>method/policy version</x:v>
      </x:c>
      <x:c r="J17" s="88" t="str">
        <x:v>是</x:v>
      </x:c>
      <x:c r="K17" s="88" t="str">
        <x:v>阻塞calibration engine</x:v>
      </x:c>
      <x:c r="L17" s="88" t="str">
        <x:v>产品/方法审核</x:v>
      </x:c>
    </x:row>
    <x:row r="18">
      <x:c r="A18" s="88" t="str">
        <x:v>13_适应场景矩阵</x:v>
      </x:c>
      <x:c r="B18" s="88" t="str">
        <x:v>教练适应策略</x:v>
      </x:c>
      <x:c r="C18" s="88" t="str">
        <x:v>是</x:v>
      </x:c>
      <x:c r="D18" s="88" t="str">
        <x:v>adaptation_policies</x:v>
      </x:c>
      <x:c r="E18" s="88" t="str">
        <x:v>ScenarioID</x:v>
      </x:c>
      <x:c r="F18" s="88" t="str">
        <x:v>生效</x:v>
      </x:c>
      <x:c r="G18" s="88" t="str">
        <x:v>trigger/decision/write targets完整；方法真值和产品策略来源分开</x:v>
      </x:c>
      <x:c r="H18" s="88" t="str">
        <x:v>policy-release upsert</x:v>
      </x:c>
      <x:c r="I18" s="88" t="str">
        <x:v>coaching_policy_version</x:v>
      </x:c>
      <x:c r="J18" s="88" t="str">
        <x:v>部分</x:v>
      </x:c>
      <x:c r="K18" s="88" t="str">
        <x:v>高安全场景阻塞</x:v>
      </x:c>
      <x:c r="L18" s="88" t="str">
        <x:v>产品</x:v>
      </x:c>
    </x:row>
    <x:row r="19">
      <x:c r="A19" s="88" t="str">
        <x:v>14_规则证据索引</x:v>
      </x:c>
      <x:c r="B19" s="88" t="str">
        <x:v>证据绑定</x:v>
      </x:c>
      <x:c r="C19" s="88" t="str">
        <x:v>是</x:v>
      </x:c>
      <x:c r="D19" s="88" t="str">
        <x:v>method_rule_sources / validation report</x:v>
      </x:c>
      <x:c r="E19" s="88" t="str">
        <x:v>EvidenceID</x:v>
      </x:c>
      <x:c r="F19" s="88" t="str">
        <x:v>已定位/产品已确认</x:v>
      </x:c>
      <x:c r="G19" s="88" t="str">
        <x:v>方法真值必须可解析source chunk；产品策略允许指PRD/Spec</x:v>
      </x:c>
      <x:c r="H19" s="88" t="str">
        <x:v>resolve link</x:v>
      </x:c>
      <x:c r="I19" s="88" t="str">
        <x:v>随rule release</x:v>
      </x:c>
      <x:c r="J19" s="88" t="str">
        <x:v>是</x:v>
      </x:c>
      <x:c r="K19" s="88" t="str">
        <x:v>方法规则缺必需证据则阻塞</x:v>
      </x:c>
      <x:c r="L19" s="88" t="str">
        <x:v>产品/方法审核</x:v>
      </x:c>
    </x:row>
    <x:row r="20">
      <x:c r="A20" s="88" t="str">
        <x:v>15_RAG切片规范</x:v>
      </x:c>
      <x:c r="B20" s="88" t="str">
        <x:v>AI ingestion契约</x:v>
      </x:c>
      <x:c r="C20" s="88" t="str">
        <x:v>否</x:v>
      </x:c>
      <x:c r="D20" s="88" t="str">
        <x:v>chunking config/code</x:v>
      </x:c>
      <x:c r="E20" s="88" t="str">
        <x:v>ChunkType</x:v>
      </x:c>
      <x:c r="F20" s="88" t="str">
        <x:v>生效</x:v>
      </x:c>
      <x:c r="G20" s="88" t="str">
        <x:v>metadata schema完整</x:v>
      </x:c>
      <x:c r="H20" s="88" t="str">
        <x:v>用于pipeline，不入runtime rule</x:v>
      </x:c>
      <x:c r="I20" s="88" t="str">
        <x:v>AI pipeline version</x:v>
      </x:c>
      <x:c r="J20" s="88" t="str">
        <x:v>否</x:v>
      </x:c>
      <x:c r="K20" s="88" t="str">
        <x:v>fallback lexical retrieval</x:v>
      </x:c>
      <x:c r="L20" s="88" t="str">
        <x:v>AI/工程</x:v>
      </x:c>
    </x:row>
    <x:row r="21">
      <x:c r="A21" s="88" t="str">
        <x:v>16_数据库映射</x:v>
      </x:c>
      <x:c r="B21" s="88" t="str">
        <x:v>schema契约</x:v>
      </x:c>
      <x:c r="C21" s="88" t="str">
        <x:v>否</x:v>
      </x:c>
      <x:c r="D21" s="88" t="str">
        <x:v>migration/importer mapping</x:v>
      </x:c>
      <x:c r="E21" s="88" t="str">
        <x:v>Workbook资产+Row对象</x:v>
      </x:c>
      <x:c r="F21" s="88" t="str">
        <x:v>生效</x:v>
      </x:c>
      <x:c r="G21" s="88" t="str">
        <x:v>DB表/keys/API归属明确</x:v>
      </x:c>
      <x:c r="H21" s="88" t="str">
        <x:v>工程依据</x:v>
      </x:c>
      <x:c r="I21" s="88" t="str">
        <x:v>Spec version</x:v>
      </x:c>
      <x:c r="J21" s="88" t="str">
        <x:v>是</x:v>
      </x:c>
      <x:c r="K21" s="88" t="str">
        <x:v>不得猜表</x:v>
      </x:c>
      <x:c r="L21" s="88" t="str">
        <x:v>产品+工程</x:v>
      </x:c>
    </x:row>
    <x:row r="22">
      <x:c r="A22" s="88" t="str">
        <x:v>17_导入契约</x:v>
      </x:c>
      <x:c r="B22" s="88" t="str">
        <x:v>Importer规范</x:v>
      </x:c>
      <x:c r="C22" s="88" t="str">
        <x:v>否</x:v>
      </x:c>
      <x:c r="D22" s="88" t="str">
        <x:v>Importer code/tests</x:v>
      </x:c>
      <x:c r="E22" s="88" t="str">
        <x:v>Sheet</x:v>
      </x:c>
      <x:c r="F22" s="88" t="str">
        <x:v>生效</x:v>
      </x:c>
      <x:c r="G22" s="88" t="str">
        <x:v>所有可导入Sheet有契约</x:v>
      </x:c>
      <x:c r="H22" s="88" t="str">
        <x:v>唯一导入规范</x:v>
      </x:c>
      <x:c r="I22" s="88" t="str">
        <x:v>Workbook version</x:v>
      </x:c>
      <x:c r="J22" s="88" t="str">
        <x:v>是</x:v>
      </x:c>
      <x:c r="K22" s="88" t="str">
        <x:v>拒绝导入</x:v>
      </x:c>
      <x:c r="L22" s="88" t="str">
        <x:v>工程</x:v>
      </x:c>
    </x:row>
    <x:row r="23">
      <x:c r="A23" s="88" t="str">
        <x:v>18_未决问题</x:v>
      </x:c>
      <x:c r="B23" s="88" t="str">
        <x:v>open question ledger</x:v>
      </x:c>
      <x:c r="C23" s="88" t="str">
        <x:v>否</x:v>
      </x:c>
      <x:c r="D23" s="88" t="str">
        <x:v>release validator</x:v>
      </x:c>
      <x:c r="E23" s="88" t="str">
        <x:v>IssueID</x:v>
      </x:c>
      <x:c r="F23" s="88" t="str">
        <x:v>已解决才关闭</x:v>
      </x:c>
      <x:c r="G23" s="88" t="str">
        <x:v>P0 blocker不得未解决</x:v>
      </x:c>
      <x:c r="H23" s="88" t="str">
        <x:v>validation read only</x:v>
      </x:c>
      <x:c r="I23" s="88" t="str">
        <x:v>随产品决策</x:v>
      </x:c>
      <x:c r="J23" s="88" t="str">
        <x:v>是</x:v>
      </x:c>
      <x:c r="K23" s="88" t="str">
        <x:v>阻塞相关scope</x:v>
      </x:c>
      <x:c r="L23" s="88" t="str">
        <x:v>产品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64685c25377e42f5"/>
  </x:tableParts>
</x:worksheet>
</file>

<file path=xl/worksheets/sheet1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42" hidden="0" customWidth="1"/>
    <x:col min="4" max="4" width="44" hidden="0" customWidth="1"/>
    <x:col min="5" max="5" width="46" hidden="0" customWidth="1"/>
    <x:col min="6" max="6" width="42" hidden="0" customWidth="1"/>
    <x:col min="7" max="7" width="28" hidden="0" customWidth="1"/>
    <x:col min="8" max="8" width="10" hidden="0" customWidth="1"/>
    <x:col min="9" max="9" width="12" hidden="0" customWidth="1"/>
    <x:col min="10" max="10" width="14" hidden="0" customWidth="1"/>
    <x:col min="11" max="11" width="18" hidden="0" customWidth="1"/>
    <x:col min="12" max="12" width="36" hidden="0" customWidth="1"/>
  </x:cols>
  <x:sheetData>
    <x:row r="1" ht="28" customHeight="1">
      <x:c r="A1" s="125" t="str">
        <x:v>Open Questions / Release Blockers</x:v>
      </x:c>
      <x:c r="B1" s="125"/>
      <x:c r="C1" s="125"/>
      <x:c r="D1" s="125"/>
      <x:c r="E1" s="125"/>
      <x:c r="F1" s="125"/>
      <x:c r="G1" s="125"/>
      <x:c r="H1" s="125"/>
      <x:c r="I1" s="125"/>
      <x:c r="J1" s="125"/>
      <x:c r="K1" s="125"/>
      <x:c r="L1" s="125"/>
    </x:row>
    <x:row r="2" ht="28" customHeight="1">
      <x:c r="A2" s="126" t="str">
        <x:v>官方视频/原始合集已经能够解决的问题已关闭并回填Canonical；这里只有真正仍缺方法证据或产品验证的事项。恢复V1采用已确认的轻量输入，不再保留额外人工测量字段。</x:v>
      </x:c>
      <x:c r="B2" s="126"/>
      <x:c r="C2" s="126"/>
      <x:c r="D2" s="126"/>
      <x:c r="E2" s="126"/>
      <x:c r="F2" s="126"/>
      <x:c r="G2" s="126"/>
      <x:c r="H2" s="126"/>
      <x:c r="I2" s="126"/>
      <x:c r="J2" s="126"/>
      <x:c r="K2" s="126"/>
      <x:c r="L2" s="126"/>
    </x:row>
    <x:row r="3" ht="28" customHeight="1">
      <x:c r="A3"/>
      <x:c r="B3"/>
      <x:c r="C3"/>
      <x:c r="D3"/>
      <x:c r="E3"/>
      <x:c r="F3"/>
      <x:c r="G3"/>
      <x:c r="H3"/>
      <x:c r="I3"/>
      <x:c r="J3"/>
      <x:c r="K3"/>
      <x:c r="L3"/>
    </x:row>
    <x:row r="4" ht="28" customHeight="1">
      <x:c r="A4" s="117" t="str">
        <x:v>IssueID</x:v>
      </x:c>
      <x:c r="B4" s="117" t="str">
        <x:v>范围</x:v>
      </x:c>
      <x:c r="C4" s="117" t="str">
        <x:v>问题</x:v>
      </x:c>
      <x:c r="D4" s="117" t="str">
        <x:v>当前已知</x:v>
      </x:c>
      <x:c r="E4" s="117" t="str">
        <x:v>不能直接定论原因</x:v>
      </x:c>
      <x:c r="F4" s="117" t="str">
        <x:v>需要什么证据/决策</x:v>
      </x:c>
      <x:c r="G4" s="117" t="str">
        <x:v>解决后回填</x:v>
      </x:c>
      <x:c r="H4" s="117" t="str">
        <x:v>优先级</x:v>
      </x:c>
      <x:c r="I4" s="117" t="str">
        <x:v>状态</x:v>
      </x:c>
      <x:c r="J4" s="117" t="str">
        <x:v>是否阻塞发布</x:v>
      </x:c>
      <x:c r="K4" s="117" t="str">
        <x:v>Owner</x:v>
      </x:c>
      <x:c r="L4" s="117" t="str">
        <x:v>备注</x:v>
      </x:c>
    </x:row>
    <x:row r="5">
      <x:c r="A5" s="88" t="str">
        <x:v>Q-001</x:v>
      </x:c>
      <x:c r="B5" s="88" t="str">
        <x:v>Day3 Strict Method Truth</x:v>
      </x:c>
      <x:c r="C5" s="88" t="str">
        <x:v>首两个动作组次及前蹲/RDL精确次数仍缺完整原始/官方直接Source</x:v>
      </x:c>
      <x:c r="D5" s="88" t="str">
        <x:v>Runtime已解决：五动作顺序、开发优先、前期不到力竭；后三项3组；山羊挺身3×8；其他字段使用版本化产品执行默认。</x:v>
      </x:c>
      <x:c r="E5" s="88" t="str">
        <x:v>公开跟练存在不同精确数字，不能升级为唯一method_explicit。</x:v>
      </x:c>
      <x:c r="F5" s="88" t="str">
        <x:v>等待官方画面字幕/更完整Source完成Strict Method Certification。</x:v>
      </x:c>
      <x:c r="G5" s="88" t="str">
        <x:v>03/04/05/12/14</x:v>
      </x:c>
      <x:c r="H5" s="88" t="str">
        <x:v>P0</x:v>
      </x:c>
      <x:c r="I5" s="88" t="str">
        <x:v>Runtime已解决 / Strict Source仍开放</x:v>
      </x:c>
      <x:c r="J5" s="88" t="str">
        <x:v>V1 Runtime=否；Strict Method=是</x:v>
      </x:c>
      <x:c r="K5" s="88" t="str">
        <x:v>方法审核</x:v>
      </x:c>
      <x:c r="L5" s="88" t="str">
        <x:v>blocks_v1_runtime_release=false；blocks_strict_method_release=true。</x:v>
      </x:c>
    </x:row>
    <x:row r="6">
      <x:c r="A6" s="88" t="str">
        <x:v>Q-002</x:v>
      </x:c>
      <x:c r="B6" s="88" t="str">
        <x:v>Day2顺序</x:v>
      </x:c>
      <x:c r="C6" s="88" t="str">
        <x:v>总览顺序与跟练口述存在冲突</x:v>
      </x:c>
      <x:c r="D6" s="88" t="str">
        <x:v>官方三分化①正式计划明确Day2顺序；④跟练没有明确宣布重排Program</x:v>
      </x:c>
      <x:c r="E6" s="88" t="str">
        <x:v>已解决</x:v>
      </x:c>
      <x:c r="F6" s="88" t="str">
        <x:v>无需额外证据；后续只把跟练口语顺序作为执行记录，不覆盖正式计划</x:v>
      </x:c>
      <x:c r="G6" s="88" t="str">
        <x:v>03/14</x:v>
      </x:c>
      <x:c r="H6" s="88" t="str">
        <x:v>P0</x:v>
      </x:c>
      <x:c r="I6" s="88" t="str">
        <x:v>已解决</x:v>
      </x:c>
      <x:c r="J6" s="88" t="str">
        <x:v>否</x:v>
      </x:c>
      <x:c r="K6" s="88" t="str">
        <x:v>方法审核</x:v>
      </x:c>
      <x:c r="L6" s="88" t="str">
        <x:v>Canonical顺序已回填。</x:v>
      </x:c>
    </x:row>
    <x:row r="7">
      <x:c r="A7" s="88" t="str">
        <x:v>Q-003</x:v>
      </x:c>
      <x:c r="B7" s="88" t="str">
        <x:v>开肘划船</x:v>
      </x:c>
      <x:c r="C7" s="88" t="str">
        <x:v>目标肌表述上斜方 vs 中下斜方</x:v>
      </x:c>
      <x:c r="D7" s="88" t="str">
        <x:v>详细动作段明确“练中下斜方肌”，并强调肩胛内收、不抡甩</x:v>
      </x:c>
      <x:c r="E7" s="88" t="str">
        <x:v>已解决</x:v>
      </x:c>
      <x:c r="F7" s="88" t="str">
        <x:v>采用动作专项详细上下文；总览“上斜方”视为冲突/口述错误</x:v>
      </x:c>
      <x:c r="G7" s="88" t="str">
        <x:v>03/04/14</x:v>
      </x:c>
      <x:c r="H7" s="88" t="str">
        <x:v>P0</x:v>
      </x:c>
      <x:c r="I7" s="88" t="str">
        <x:v>已解决</x:v>
      </x:c>
      <x:c r="J7" s="88" t="str">
        <x:v>否</x:v>
      </x:c>
      <x:c r="K7" s="88" t="str">
        <x:v>方法审核</x:v>
      </x:c>
      <x:c r="L7" s="88" t="str">
        <x:v>Canonical已回填中下斜方肌/肩胛后缩。</x:v>
      </x:c>
    </x:row>
    <x:row r="8">
      <x:c r="A8" s="88" t="str">
        <x:v>Q-004</x:v>
      </x:c>
      <x:c r="B8" s="88" t="str">
        <x:v>Cable Curl Strict Progression</x:v>
      </x:c>
      <x:c r="C8" s="88" t="str">
        <x:v>作者是否另有正式次数与进阶规则</x:v>
      </x:c>
      <x:c r="D8" s="88" t="str">
        <x:v>动作身份、3组、质量优先已确认；Runtime使用12–15次+calibration-only。</x:v>
      </x:c>
      <x:c r="E8" s="88" t="str">
        <x:v>12与15均出现在公开执行记录；原方法没有稳定明确唯一reps或12→15→加重规则。</x:v>
      </x:c>
      <x:c r="F8" s="88" t="str">
        <x:v>继续定位更完整官方Source；新证据通过新Method Release进入。</x:v>
      </x:c>
      <x:c r="G8" s="88" t="str">
        <x:v>03/04/05/12/14</x:v>
      </x:c>
      <x:c r="H8" s="88" t="str">
        <x:v>P0</x:v>
      </x:c>
      <x:c r="I8" s="88" t="str">
        <x:v>Runtime已解决 / Strict Source仍开放</x:v>
      </x:c>
      <x:c r="J8" s="88" t="str">
        <x:v>V1 Runtime=否；Strict Method=是</x:v>
      </x:c>
      <x:c r="K8" s="88" t="str">
        <x:v>方法审核</x:v>
      </x:c>
      <x:c r="L8" s="88" t="str">
        <x:v>blocks_v1_runtime_release=false；blocks_strict_method_release=true。</x:v>
      </x:c>
    </x:row>
    <x:row r="9">
      <x:c r="A9" s="88" t="str">
        <x:v>Q-005</x:v>
      </x:c>
      <x:c r="B9" s="88" t="str">
        <x:v>侧平举</x:v>
      </x:c>
      <x:c r="C9" s="88" t="str">
        <x:v>Y字/拜姿侧平举Canonical名称</x:v>
      </x:c>
      <x:c r="D9" s="88" t="str">
        <x:v>官方三分化②公开笔记明确“Y字侧平举”，凯圣王另有独立《Y字侧平举详解》</x:v>
      </x:c>
      <x:c r="E9" s="88" t="str">
        <x:v>已解决</x:v>
      </x:c>
      <x:c r="F9" s="88" t="str">
        <x:v>无</x:v>
      </x:c>
      <x:c r="G9" s="88" t="str">
        <x:v>03/04/14</x:v>
      </x:c>
      <x:c r="H9" s="88" t="str">
        <x:v>P0</x:v>
      </x:c>
      <x:c r="I9" s="88" t="str">
        <x:v>已解决</x:v>
      </x:c>
      <x:c r="J9" s="88" t="str">
        <x:v>否</x:v>
      </x:c>
      <x:c r="K9" s="88" t="str">
        <x:v>方法审核</x:v>
      </x:c>
      <x:c r="L9" s="88" t="str">
        <x:v>Canonical统一为Y字侧平举。</x:v>
      </x:c>
    </x:row>
    <x:row r="10">
      <x:c r="A10" s="88" t="str">
        <x:v>Q-006</x:v>
      </x:c>
      <x:c r="B10" s="88" t="str">
        <x:v>Warm-up</x:v>
      </x:c>
      <x:c r="C10" s="88" t="str">
        <x:v>三天完整热身 / 家庭基本功的动作与次数结构化</x:v>
      </x:c>
      <x:c r="D10" s="88" t="str">
        <x:v>模块边界已解决：Warm-up是独立训练前Protocol/Library；官方跟练和独立热身视频均可作为Source</x:v>
      </x:c>
      <x:c r="E10" s="88" t="str">
        <x:v>仍需要把三天具体动作/次数从完整视频/字幕整理成Canonical rows</x:v>
      </x:c>
      <x:c r="F10" s="88" t="str">
        <x:v>按Push/Pull/Legs分别提取完整warm-up protocol</x:v>
      </x:c>
      <x:c r="G10" s="88" t="str">
        <x:v>04/14 + 后续Warm-up Canonical Sheet/Rule</x:v>
      </x:c>
      <x:c r="H10" s="88" t="str">
        <x:v>P1</x:v>
      </x:c>
      <x:c r="I10" s="88" t="str">
        <x:v>未解决</x:v>
      </x:c>
      <x:c r="J10" s="88" t="str">
        <x:v>部分</x:v>
      </x:c>
      <x:c r="K10" s="88" t="str">
        <x:v>方法审核</x:v>
      </x:c>
      <x:c r="L10" s="88" t="str">
        <x:v>V010架构问题已关闭；剩余是内容录入，不再阻塞当前核心训练状态机。</x:v>
      </x:c>
    </x:row>
    <x:row r="11">
      <x:c r="A11" s="88" t="str">
        <x:v>Q-008</x:v>
      </x:c>
      <x:c r="B11" s="88" t="str">
        <x:v>中断回归</x:v>
      </x:c>
      <x:c r="C11" s="88" t="str">
        <x:v>short_break/returning/long_break精确天数</x:v>
      </x:c>
      <x:c r="D11" s="88" t="str">
        <x:v>产品已确认需要重新校准层</x:v>
      </x:c>
      <x:c r="E11" s="88" t="str">
        <x:v>原方法未给产品状态阈值</x:v>
      </x:c>
      <x:c r="F11" s="88" t="str">
        <x:v>通过试用/数据验证确定policy阈值</x:v>
      </x:c>
      <x:c r="G11" s="88" t="str">
        <x:v>13/12</x:v>
      </x:c>
      <x:c r="H11" s="88" t="str">
        <x:v>P1</x:v>
      </x:c>
      <x:c r="I11" s="88" t="str">
        <x:v>未解决</x:v>
      </x:c>
      <x:c r="J11" s="88" t="str">
        <x:v>否</x:v>
      </x:c>
      <x:c r="K11" s="88" t="str">
        <x:v>产品</x:v>
      </x:c>
      <x:c r="L11" s="88" t="str">
        <x:v>当前可配置不写死</x:v>
      </x:c>
    </x:row>
    <x:row r="12">
      <x:c r="A12" s="88" t="str">
        <x:v>Q-009</x:v>
      </x:c>
      <x:c r="B12" s="88" t="str">
        <x:v>持续偏轻/偏重</x:v>
      </x:c>
      <x:c r="C12" s="88" t="str">
        <x:v>连续几次触发coaching signal</x:v>
      </x:c>
      <x:c r="D12" s="88" t="str">
        <x:v>方向已确认</x:v>
      </x:c>
      <x:c r="E12" s="88" t="str">
        <x:v>没有证据支持固定2/3次等阈值</x:v>
      </x:c>
      <x:c r="F12" s="88" t="str">
        <x:v>Beta数据/用户测试</x:v>
      </x:c>
      <x:c r="G12" s="88" t="str">
        <x:v>12/13</x:v>
      </x:c>
      <x:c r="H12" s="88" t="str">
        <x:v>P1</x:v>
      </x:c>
      <x:c r="I12" s="88" t="str">
        <x:v>未解决</x:v>
      </x:c>
      <x:c r="J12" s="88" t="str">
        <x:v>否</x:v>
      </x:c>
      <x:c r="K12" s="88" t="str">
        <x:v>产品</x:v>
      </x:c>
      <x:c r="L12" s="88" t="str">
        <x:v>先保存事实，谨慎自动化</x:v>
      </x:c>
    </x:row>
    <x:row r="13">
      <x:c r="A13" s="88" t="str">
        <x:v>Q-010</x:v>
      </x:c>
      <x:c r="B13" s="88" t="str">
        <x:v>约1月微调</x:v>
      </x:c>
      <x:c r="C13" s="88" t="str">
        <x:v>具体动作替换和容量转移规则</x:v>
      </x:c>
      <x:c r="D13" s="88" t="str">
        <x:v>原文明确约1月后会微调</x:v>
      </x:c>
      <x:c r="E13" s="88" t="str">
        <x:v>详细细则未全部展开</x:v>
      </x:c>
      <x:c r="F13" s="88" t="str">
        <x:v>继续检索后续章节</x:v>
      </x:c>
      <x:c r="G13" s="88" t="str">
        <x:v>05/13/14</x:v>
      </x:c>
      <x:c r="H13" s="88" t="str">
        <x:v>P1</x:v>
      </x:c>
      <x:c r="I13" s="88" t="str">
        <x:v>未解决</x:v>
      </x:c>
      <x:c r="J13" s="88" t="str">
        <x:v>部分</x:v>
      </x:c>
      <x:c r="K13" s="88" t="str">
        <x:v>方法审核</x:v>
      </x:c>
      <x:c r="L13" s="88"/>
    </x:row>
    <x:row r="14">
      <x:c r="A14" s="88" t="str">
        <x:v>Q-011</x:v>
      </x:c>
      <x:c r="B14" s="88" t="str">
        <x:v>动作替代</x:v>
      </x:c>
      <x:c r="C14" s="88" t="str">
        <x:v>除已明确替代/退阶之外的动作库</x:v>
      </x:c>
      <x:c r="D14" s="88" t="str">
        <x:v>双杠退阶、海豹/滑轮等部分明确</x:v>
      </x:c>
      <x:c r="E14" s="88" t="str">
        <x:v>不能用通用健身知识偷偷扩充方法</x:v>
      </x:c>
      <x:c r="F14" s="88" t="str">
        <x:v>逐动作建立method-supported substitution</x:v>
      </x:c>
      <x:c r="G14" s="88" t="str">
        <x:v>04/13/14</x:v>
      </x:c>
      <x:c r="H14" s="88" t="str">
        <x:v>P1</x:v>
      </x:c>
      <x:c r="I14" s="88" t="str">
        <x:v>未解决</x:v>
      </x:c>
      <x:c r="J14" s="88" t="str">
        <x:v>部分</x:v>
      </x:c>
      <x:c r="K14" s="88" t="str">
        <x:v>方法审核</x:v>
      </x:c>
      <x:c r="L14" s="88"/>
    </x:row>
    <x:row r="15">
      <x:c r="A15" s="88" t="str">
        <x:v>Q-012</x:v>
      </x:c>
      <x:c r="B15" s="88" t="str">
        <x:v>营养目标</x:v>
      </x:c>
      <x:c r="C15" s="88" t="str">
        <x:v>初始热量目标正式算法</x:v>
      </x:c>
      <x:c r="D15" s="88" t="str">
        <x:v>蛋白质≈1.6g/kg方向已确认；热量需趋势校准</x:v>
      </x:c>
      <x:c r="E15" s="88" t="str">
        <x:v>年龄/活动量/体重趋势算法未最终锁定</x:v>
      </x:c>
      <x:c r="F15" s="88" t="str">
        <x:v>单独Nutrition算法Spec</x:v>
      </x:c>
      <x:c r="G15" s="88" t="str">
        <x:v>System Spec Nutrition</x:v>
      </x:c>
      <x:c r="H15" s="88" t="str">
        <x:v>P1</x:v>
      </x:c>
      <x:c r="I15" s="88" t="str">
        <x:v>未解决</x:v>
      </x:c>
      <x:c r="J15" s="88" t="str">
        <x:v>否</x:v>
      </x:c>
      <x:c r="K15" s="88" t="str">
        <x:v>产品</x:v>
      </x:c>
      <x:c r="L15" s="88" t="str">
        <x:v>不阻塞Method release</x:v>
      </x:c>
    </x:row>
    <x:row r="16">
      <x:c r="A16" s="88"/>
      <x:c r="B16" s="88"/>
      <x:c r="C16" s="88"/>
      <x:c r="D16" s="88"/>
      <x:c r="E16" s="88"/>
      <x:c r="F16" s="88"/>
      <x:c r="G16" s="88"/>
      <x:c r="H16" s="88"/>
      <x:c r="I16" s="88"/>
      <x:c r="J16" s="88"/>
      <x:c r="K16" s="88"/>
      <x:c r="L16" s="88"/>
    </x:row>
  </x:sheetData>
  <x:mergeCells>
    <x:mergeCell ref="A1:L1"/>
    <x:mergeCell ref="A2:L2"/>
  </x:mergeCells>
  <x:conditionalFormatting sqref="I5:I200">
    <x:cfRule type="expression" dxfId="12" priority="1">
      <x:formula>$I5="已解决"</x:formula>
    </x:cfRule>
    <x:cfRule type="expression" dxfId="13" priority="2">
      <x:formula>OR($I5="待确认",$I5="未解决",$I5="待补证据")</x:formula>
    </x:cfRule>
    <x:cfRule type="expression" dxfId="14" priority="3">
      <x:formula>OR($I5="不导入",$I5="归档")</x:formula>
    </x:cfRule>
  </x:conditionalFormatting>
  <x:dataValidations count="3">
    <x:dataValidation type="list" sqref="H5:H200">
      <x:formula1>"P0,P1,P2"</x:formula1>
    </x:dataValidation>
    <x:dataValidation type="list" sqref="I5:I200">
      <x:formula1>"未解决,处理中,已解决,归档"</x:formula1>
    </x:dataValidation>
    <x:dataValidation type="list" sqref="J5:J200">
      <x:formula1>"是,部分,否"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a19ef0e22034e84"/>
  </x:tableParts>
</x:worksheet>
</file>